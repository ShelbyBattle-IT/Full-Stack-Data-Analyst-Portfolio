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shelbybattle/Desktop/Local_Projects/full stack data analyst portfolio/02_excel_storytelling/"/>
    </mc:Choice>
  </mc:AlternateContent>
  <xr:revisionPtr revIDLastSave="0" documentId="13_ncr:1_{1CFBDDD5-89EE-844E-BB83-469E68AB441B}" xr6:coauthVersionLast="47" xr6:coauthVersionMax="47" xr10:uidLastSave="{00000000-0000-0000-0000-000000000000}"/>
  <bookViews>
    <workbookView xWindow="0" yWindow="0" windowWidth="28800" windowHeight="18000" activeTab="6" xr2:uid="{0C6FF75A-F58E-784A-9716-2B8F6A8FD357}"/>
  </bookViews>
  <sheets>
    <sheet name="00_README" sheetId="1" r:id="rId1"/>
    <sheet name="01_RAW_DATA" sheetId="2" r:id="rId2"/>
    <sheet name="02_CLEAN_DATA" sheetId="3" r:id="rId3"/>
    <sheet name="03_KPI_SUMMARY" sheetId="4" r:id="rId4"/>
    <sheet name="04_PIVOT_ANALYSIS" sheetId="5" r:id="rId5"/>
    <sheet name="05_DASHBOARD" sheetId="6" r:id="rId6"/>
    <sheet name="06_INSIGHTS_NOTES" sheetId="7" r:id="rId7"/>
  </sheets>
  <calcPr calcId="191029"/>
  <pivotCaches>
    <pivotCache cacheId="6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6" l="1"/>
  <c r="C5" i="6"/>
  <c r="B5" i="6"/>
  <c r="A5" i="6"/>
  <c r="B16" i="4"/>
  <c r="B17" i="4"/>
  <c r="B18" i="4"/>
  <c r="B19" i="4"/>
  <c r="B20" i="4"/>
  <c r="B21" i="4"/>
  <c r="B22" i="4"/>
  <c r="B23" i="4"/>
  <c r="B15" i="4"/>
  <c r="B9" i="4"/>
  <c r="B10" i="4"/>
  <c r="B11" i="4"/>
  <c r="E9" i="4"/>
  <c r="E10" i="4"/>
  <c r="E8" i="4"/>
  <c r="B8" i="4"/>
  <c r="B5" i="4"/>
  <c r="B4" i="4"/>
  <c r="B3" i="4"/>
  <c r="B2" i="4"/>
  <c r="L3" i="3"/>
  <c r="L4" i="3"/>
  <c r="L5" i="3"/>
  <c r="L6" i="3"/>
  <c r="L7" i="3"/>
  <c r="L8" i="3"/>
  <c r="L9" i="3"/>
  <c r="L10" i="3"/>
  <c r="L11" i="3"/>
  <c r="L12" i="3"/>
  <c r="L13" i="3"/>
  <c r="L14" i="3"/>
  <c r="L15" i="3"/>
  <c r="L2" i="3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I3" i="2"/>
  <c r="I4" i="2"/>
  <c r="I5" i="2"/>
  <c r="I6" i="2"/>
  <c r="I7" i="2"/>
  <c r="I8" i="2"/>
  <c r="I9" i="2"/>
  <c r="I10" i="2"/>
  <c r="I11" i="2"/>
  <c r="I12" i="2"/>
  <c r="I13" i="2"/>
  <c r="I14" i="2"/>
  <c r="I15" i="2"/>
  <c r="I2" i="2"/>
</calcChain>
</file>

<file path=xl/sharedStrings.xml><?xml version="1.0" encoding="utf-8"?>
<sst xmlns="http://schemas.openxmlformats.org/spreadsheetml/2006/main" count="221" uniqueCount="75">
  <si>
    <t>Title:</t>
  </si>
  <si>
    <t>Business Context:</t>
  </si>
  <si>
    <t>Are sales trending up or down over time?</t>
  </si>
  <si>
    <t>KPIs Tracked:</t>
  </si>
  <si>
    <t>Total Revenue</t>
  </si>
  <si>
    <t>Units Sold</t>
  </si>
  <si>
    <t>Average Order Value (AOV)</t>
  </si>
  <si>
    <t>Revenue by Region</t>
  </si>
  <si>
    <t>Revenue by Category</t>
  </si>
  <si>
    <t>Monthly Revenue Trend</t>
  </si>
  <si>
    <t>Order_ID</t>
  </si>
  <si>
    <t>Order_Date</t>
  </si>
  <si>
    <t>Region</t>
  </si>
  <si>
    <t>Channel</t>
  </si>
  <si>
    <t>Product_Category</t>
  </si>
  <si>
    <t>Shoe_Model</t>
  </si>
  <si>
    <t>Units_Sold</t>
  </si>
  <si>
    <t>Unit_Price</t>
  </si>
  <si>
    <t>Revenue</t>
  </si>
  <si>
    <t>East</t>
  </si>
  <si>
    <t>DTC</t>
  </si>
  <si>
    <t>Running</t>
  </si>
  <si>
    <t>AeroRun 2</t>
  </si>
  <si>
    <t>West</t>
  </si>
  <si>
    <t>Retail</t>
  </si>
  <si>
    <t>CloudStride</t>
  </si>
  <si>
    <t>Midwest</t>
  </si>
  <si>
    <t>Training</t>
  </si>
  <si>
    <t>Powerlift</t>
  </si>
  <si>
    <t>South</t>
  </si>
  <si>
    <t>Lifestyle</t>
  </si>
  <si>
    <t>StreetFlow</t>
  </si>
  <si>
    <t>DailyMove</t>
  </si>
  <si>
    <t>FlexTrainer</t>
  </si>
  <si>
    <t xml:space="preserve">Month </t>
  </si>
  <si>
    <t>Quarter</t>
  </si>
  <si>
    <t>Year</t>
  </si>
  <si>
    <t>Total Units Sold</t>
  </si>
  <si>
    <t>Orders</t>
  </si>
  <si>
    <t>AOV (Avg Order Value)</t>
  </si>
  <si>
    <t>Category</t>
  </si>
  <si>
    <t>Month</t>
  </si>
  <si>
    <t>2024-01</t>
  </si>
  <si>
    <t>2024-05</t>
  </si>
  <si>
    <t>2024-06</t>
  </si>
  <si>
    <t>2024-07</t>
  </si>
  <si>
    <t>2024-09</t>
  </si>
  <si>
    <t>2024-10</t>
  </si>
  <si>
    <t>2024-11</t>
  </si>
  <si>
    <t>2024-12</t>
  </si>
  <si>
    <t>2024-08</t>
  </si>
  <si>
    <t>Grand Total</t>
  </si>
  <si>
    <t>Sum of Revenue</t>
  </si>
  <si>
    <t>Revenue By Region</t>
  </si>
  <si>
    <t>Revenue by Product Category</t>
  </si>
  <si>
    <t>Key Insights</t>
  </si>
  <si>
    <t>Revenue by Region:</t>
  </si>
  <si>
    <t>Revenue by Product Category:</t>
  </si>
  <si>
    <t>Monthly Revenue Trend:</t>
  </si>
  <si>
    <t>Strategic Takeaway:</t>
  </si>
  <si>
    <t>KPIs Summary:</t>
  </si>
  <si>
    <t>Footwear Sales Performance Dashboard</t>
  </si>
  <si>
    <t>Execuite Summary | 2024</t>
  </si>
  <si>
    <t>Avg Order Value</t>
  </si>
  <si>
    <t>Executive Summary:</t>
  </si>
  <si>
    <t>The West region generated the highest revenue at $1,110, followed by the East at $880. The Midwest ($685) and South ($585) underperformed, indicating potential gaps in market penetration or regional demand.</t>
  </si>
  <si>
    <t>Footwear Sales Performance Analysis (2024)</t>
  </si>
  <si>
    <t>This analysis evaluates a footwear brand’s 2024 sales performance to identify key revenue drivers, underperforming regions, and actionable growth opportunities.</t>
  </si>
  <si>
    <r>
      <t xml:space="preserve">In 2024, total revenue reached </t>
    </r>
    <r>
      <rPr>
        <b/>
        <sz val="12"/>
        <color theme="1"/>
        <rFont val="Calibri"/>
        <family val="2"/>
        <scheme val="minor"/>
      </rPr>
      <t>$3,260</t>
    </r>
    <r>
      <rPr>
        <sz val="12"/>
        <color theme="1"/>
        <rFont val="Calibri"/>
        <family val="2"/>
        <scheme val="minor"/>
      </rPr>
      <t xml:space="preserve"> across </t>
    </r>
    <r>
      <rPr>
        <b/>
        <sz val="12"/>
        <color theme="1"/>
        <rFont val="Calibri"/>
        <family val="2"/>
        <scheme val="minor"/>
      </rPr>
      <t>14 orders</t>
    </r>
    <r>
      <rPr>
        <sz val="12"/>
        <color theme="1"/>
        <rFont val="Calibri"/>
        <family val="2"/>
        <scheme val="minor"/>
      </rPr>
      <t xml:space="preserve"> and </t>
    </r>
    <r>
      <rPr>
        <b/>
        <sz val="12"/>
        <color theme="1"/>
        <rFont val="Calibri"/>
        <family val="2"/>
        <scheme val="minor"/>
      </rPr>
      <t>27 units sold</t>
    </r>
    <r>
      <rPr>
        <sz val="12"/>
        <color theme="1"/>
        <rFont val="Calibri"/>
        <family val="2"/>
        <scheme val="minor"/>
      </rPr>
      <t xml:space="preserve">, resulting in an </t>
    </r>
    <r>
      <rPr>
        <b/>
        <sz val="12"/>
        <color theme="1"/>
        <rFont val="Calibri"/>
        <family val="2"/>
        <scheme val="minor"/>
      </rPr>
      <t>average order value (AOV) of $232.86</t>
    </r>
    <r>
      <rPr>
        <sz val="12"/>
        <color theme="1"/>
        <rFont val="Calibri"/>
        <family val="2"/>
        <scheme val="minor"/>
      </rPr>
      <t xml:space="preserve">. Revenue performance varied significantly by region and product category, with the </t>
    </r>
    <r>
      <rPr>
        <b/>
        <sz val="12"/>
        <color theme="1"/>
        <rFont val="Calibri"/>
        <family val="2"/>
        <scheme val="minor"/>
      </rPr>
      <t>West region</t>
    </r>
    <r>
      <rPr>
        <sz val="12"/>
        <color theme="1"/>
        <rFont val="Calibri"/>
        <family val="2"/>
        <scheme val="minor"/>
      </rPr>
      <t xml:space="preserve"> and </t>
    </r>
    <r>
      <rPr>
        <b/>
        <sz val="12"/>
        <color theme="1"/>
        <rFont val="Calibri"/>
        <family val="2"/>
        <scheme val="minor"/>
      </rPr>
      <t>Running category</t>
    </r>
    <r>
      <rPr>
        <sz val="12"/>
        <color theme="1"/>
        <rFont val="Calibri"/>
        <family val="2"/>
        <scheme val="minor"/>
      </rPr>
      <t xml:space="preserve"> emerging as the primary revenue drivers. These patterns highlight clear opportunities to reinforce high-performing segments while addressing underperforming regions.</t>
    </r>
  </si>
  <si>
    <t>These KPIs provide a high-level view of sales efficiency, demand distribution, and revenue concentration across regions and product categories.</t>
  </si>
  <si>
    <r>
      <t>The West region generated the highest revenue (</t>
    </r>
    <r>
      <rPr>
        <b/>
        <sz val="12"/>
        <color theme="1"/>
        <rFont val="Calibri"/>
        <family val="2"/>
        <scheme val="minor"/>
      </rPr>
      <t>$1,110</t>
    </r>
    <r>
      <rPr>
        <sz val="12"/>
        <color theme="1"/>
        <rFont val="Calibri"/>
        <family val="2"/>
        <scheme val="minor"/>
      </rPr>
      <t>), followed by the East (</t>
    </r>
    <r>
      <rPr>
        <b/>
        <sz val="12"/>
        <color theme="1"/>
        <rFont val="Calibri"/>
        <family val="2"/>
        <scheme val="minor"/>
      </rPr>
      <t>$880</t>
    </r>
    <r>
      <rPr>
        <sz val="12"/>
        <color theme="1"/>
        <rFont val="Calibri"/>
        <family val="2"/>
        <scheme val="minor"/>
      </rPr>
      <t>). The Midwest (</t>
    </r>
    <r>
      <rPr>
        <b/>
        <sz val="12"/>
        <color theme="1"/>
        <rFont val="Calibri"/>
        <family val="2"/>
        <scheme val="minor"/>
      </rPr>
      <t>$685</t>
    </r>
    <r>
      <rPr>
        <sz val="12"/>
        <color theme="1"/>
        <rFont val="Calibri"/>
        <family val="2"/>
        <scheme val="minor"/>
      </rPr>
      <t>) and South (</t>
    </r>
    <r>
      <rPr>
        <b/>
        <sz val="12"/>
        <color theme="1"/>
        <rFont val="Calibri"/>
        <family val="2"/>
        <scheme val="minor"/>
      </rPr>
      <t>$585</t>
    </r>
    <r>
      <rPr>
        <sz val="12"/>
        <color theme="1"/>
        <rFont val="Calibri"/>
        <family val="2"/>
        <scheme val="minor"/>
      </rPr>
      <t>) underperformed, suggesting opportunities for targeted regional marketing efforts, channel optimization, or localized promotions to increase demand.</t>
    </r>
  </si>
  <si>
    <r>
      <t>The Running category is the top revenue driver (</t>
    </r>
    <r>
      <rPr>
        <b/>
        <sz val="12"/>
        <color theme="1"/>
        <rFont val="Calibri"/>
        <family val="2"/>
        <scheme val="minor"/>
      </rPr>
      <t>$1,525</t>
    </r>
    <r>
      <rPr>
        <sz val="12"/>
        <color theme="1"/>
        <rFont val="Calibri"/>
        <family val="2"/>
        <scheme val="minor"/>
      </rPr>
      <t>), outperforming Training (</t>
    </r>
    <r>
      <rPr>
        <b/>
        <sz val="12"/>
        <color theme="1"/>
        <rFont val="Calibri"/>
        <family val="2"/>
        <scheme val="minor"/>
      </rPr>
      <t>$965</t>
    </r>
    <r>
      <rPr>
        <sz val="12"/>
        <color theme="1"/>
        <rFont val="Calibri"/>
        <family val="2"/>
        <scheme val="minor"/>
      </rPr>
      <t>) and Lifestyle (</t>
    </r>
    <r>
      <rPr>
        <b/>
        <sz val="12"/>
        <color theme="1"/>
        <rFont val="Calibri"/>
        <family val="2"/>
        <scheme val="minor"/>
      </rPr>
      <t>$770</t>
    </r>
    <r>
      <rPr>
        <sz val="12"/>
        <color theme="1"/>
        <rFont val="Calibri"/>
        <family val="2"/>
        <scheme val="minor"/>
      </rPr>
      <t>). This indicates strong demand for performance footwear and suggests prioritizing inventory investment and marketing campaigns around running products.</t>
    </r>
  </si>
  <si>
    <r>
      <t xml:space="preserve">Revenue peaked in </t>
    </r>
    <r>
      <rPr>
        <b/>
        <sz val="12"/>
        <color theme="1"/>
        <rFont val="Calibri"/>
        <family val="2"/>
        <scheme val="minor"/>
      </rPr>
      <t>January ($1,320)</t>
    </r>
    <r>
      <rPr>
        <sz val="12"/>
        <color theme="1"/>
        <rFont val="Calibri"/>
        <family val="2"/>
        <scheme val="minor"/>
      </rPr>
      <t xml:space="preserve">, with a secondary increase in </t>
    </r>
    <r>
      <rPr>
        <b/>
        <sz val="12"/>
        <color theme="1"/>
        <rFont val="Calibri"/>
        <family val="2"/>
        <scheme val="minor"/>
      </rPr>
      <t>October ($435)</t>
    </r>
    <r>
      <rPr>
        <sz val="12"/>
        <color theme="1"/>
        <rFont val="Calibri"/>
        <family val="2"/>
        <scheme val="minor"/>
      </rPr>
      <t>. Mid-year months showed lower performance, indicating seasonal purchasing patterns and potential opportunities for promotional campaigns during slower periods.</t>
    </r>
  </si>
  <si>
    <r>
      <t xml:space="preserve">Sales performance is primarily driven by the </t>
    </r>
    <r>
      <rPr>
        <b/>
        <sz val="12"/>
        <color theme="1"/>
        <rFont val="Calibri"/>
        <family val="2"/>
        <scheme val="minor"/>
      </rPr>
      <t>West region</t>
    </r>
    <r>
      <rPr>
        <sz val="12"/>
        <color theme="1"/>
        <rFont val="Calibri"/>
        <family val="2"/>
        <scheme val="minor"/>
      </rPr>
      <t xml:space="preserve"> and </t>
    </r>
    <r>
      <rPr>
        <b/>
        <sz val="12"/>
        <color theme="1"/>
        <rFont val="Calibri"/>
        <family val="2"/>
        <scheme val="minor"/>
      </rPr>
      <t>Running category</t>
    </r>
    <r>
      <rPr>
        <sz val="12"/>
        <color theme="1"/>
        <rFont val="Calibri"/>
        <family val="2"/>
        <scheme val="minor"/>
      </rPr>
      <t>, supported by clear seasonal trends. Focusing on high-performing segments while implementing targeted strategies to boost underperforming regions and mid-year sales could improve overall revenue consistency.</t>
    </r>
  </si>
  <si>
    <r>
      <t>Total Revenue:</t>
    </r>
    <r>
      <rPr>
        <b/>
        <sz val="12"/>
        <color theme="1"/>
        <rFont val="Calibri"/>
        <family val="2"/>
        <scheme val="minor"/>
      </rPr>
      <t xml:space="preserve"> $3,260 </t>
    </r>
    <r>
      <rPr>
        <sz val="12"/>
        <color theme="1"/>
        <rFont val="Calibri"/>
        <family val="2"/>
        <scheme val="minor"/>
      </rPr>
      <t xml:space="preserve">| Total Units Sold: </t>
    </r>
    <r>
      <rPr>
        <b/>
        <sz val="12"/>
        <color theme="1"/>
        <rFont val="Calibri"/>
        <family val="2"/>
        <scheme val="minor"/>
      </rPr>
      <t>27</t>
    </r>
    <r>
      <rPr>
        <sz val="12"/>
        <color theme="1"/>
        <rFont val="Calibri"/>
        <family val="2"/>
        <scheme val="minor"/>
      </rPr>
      <t xml:space="preserve"> | Orders: </t>
    </r>
    <r>
      <rPr>
        <b/>
        <sz val="12"/>
        <color theme="1"/>
        <rFont val="Calibri"/>
        <family val="2"/>
        <scheme val="minor"/>
      </rPr>
      <t>14</t>
    </r>
    <r>
      <rPr>
        <sz val="12"/>
        <color theme="1"/>
        <rFont val="Calibri"/>
        <family val="2"/>
        <scheme val="minor"/>
      </rPr>
      <t xml:space="preserve"> | AOV:</t>
    </r>
    <r>
      <rPr>
        <b/>
        <sz val="12"/>
        <color theme="1"/>
        <rFont val="Calibri"/>
        <family val="2"/>
        <scheme val="minor"/>
      </rPr>
      <t xml:space="preserve"> $232.86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</si>
</sst>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&quot;$&quot;#,##0"/>
    <numFmt numFmtId="166" formatCode="&quot;$&quot;#,##0.00"/>
  </numFmts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 tint="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/>
      <diagonal/>
    </border>
    <border>
      <left style="medium">
        <color theme="2" tint="-9.9978637043366805E-2"/>
      </left>
      <right style="medium">
        <color theme="2" tint="-9.9978637043366805E-2"/>
      </right>
      <top style="medium">
        <color theme="2" tint="-9.9978637043366805E-2"/>
      </top>
      <bottom style="thin">
        <color theme="2" tint="-9.9978637043366805E-2"/>
      </bottom>
      <diagonal/>
    </border>
    <border>
      <left style="medium">
        <color theme="2" tint="-9.9978637043366805E-2"/>
      </left>
      <right style="medium">
        <color theme="2" tint="-9.9978637043366805E-2"/>
      </right>
      <top style="thin">
        <color theme="2" tint="-9.9978637043366805E-2"/>
      </top>
      <bottom style="medium">
        <color theme="2" tint="-9.9978637043366805E-2"/>
      </bottom>
      <diagonal/>
    </border>
    <border>
      <left style="medium">
        <color theme="2" tint="-9.9978637043366805E-2"/>
      </left>
      <right style="medium">
        <color theme="2" tint="-9.9978637043366805E-2"/>
      </right>
      <top style="medium">
        <color theme="2" tint="-9.9978637043366805E-2"/>
      </top>
      <bottom/>
      <diagonal/>
    </border>
    <border>
      <left style="medium">
        <color theme="2" tint="-9.9978637043366805E-2"/>
      </left>
      <right style="medium">
        <color theme="2" tint="-9.9978637043366805E-2"/>
      </right>
      <top/>
      <bottom style="medium">
        <color theme="2" tint="-9.9978637043366805E-2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2" borderId="2" xfId="0" applyFont="1" applyFill="1" applyBorder="1"/>
    <xf numFmtId="0" fontId="2" fillId="0" borderId="1" xfId="0" applyFont="1" applyBorder="1"/>
    <xf numFmtId="0" fontId="2" fillId="0" borderId="0" xfId="0" applyFont="1"/>
    <xf numFmtId="164" fontId="2" fillId="2" borderId="2" xfId="0" applyNumberFormat="1" applyFont="1" applyFill="1" applyBorder="1"/>
    <xf numFmtId="1" fontId="2" fillId="0" borderId="0" xfId="0" applyNumberFormat="1" applyFont="1"/>
    <xf numFmtId="1" fontId="2" fillId="2" borderId="2" xfId="0" applyNumberFormat="1" applyFont="1" applyFill="1" applyBorder="1"/>
    <xf numFmtId="1" fontId="2" fillId="0" borderId="1" xfId="0" applyNumberFormat="1" applyFont="1" applyBorder="1"/>
    <xf numFmtId="1" fontId="0" fillId="0" borderId="0" xfId="0" applyNumberFormat="1"/>
    <xf numFmtId="165" fontId="2" fillId="0" borderId="0" xfId="0" applyNumberFormat="1" applyFont="1"/>
    <xf numFmtId="165" fontId="2" fillId="2" borderId="2" xfId="0" applyNumberFormat="1" applyFont="1" applyFill="1" applyBorder="1"/>
    <xf numFmtId="165" fontId="2" fillId="0" borderId="1" xfId="0" applyNumberFormat="1" applyFont="1" applyBorder="1"/>
    <xf numFmtId="165" fontId="0" fillId="0" borderId="0" xfId="0" applyNumberFormat="1"/>
    <xf numFmtId="0" fontId="0" fillId="0" borderId="0" xfId="0" applyFont="1"/>
    <xf numFmtId="166" fontId="0" fillId="0" borderId="0" xfId="0" applyNumberFormat="1"/>
    <xf numFmtId="165" fontId="0" fillId="0" borderId="0" xfId="0" quotePrefix="1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/>
    </xf>
    <xf numFmtId="0" fontId="6" fillId="0" borderId="0" xfId="0" applyFont="1"/>
    <xf numFmtId="0" fontId="0" fillId="0" borderId="3" xfId="0" applyBorder="1"/>
    <xf numFmtId="165" fontId="7" fillId="0" borderId="4" xfId="0" applyNumberFormat="1" applyFont="1" applyBorder="1"/>
    <xf numFmtId="0" fontId="0" fillId="0" borderId="5" xfId="0" applyBorder="1"/>
    <xf numFmtId="1" fontId="7" fillId="0" borderId="6" xfId="0" applyNumberFormat="1" applyFont="1" applyBorder="1"/>
    <xf numFmtId="0" fontId="7" fillId="0" borderId="6" xfId="0" applyFont="1" applyBorder="1"/>
    <xf numFmtId="166" fontId="7" fillId="0" borderId="6" xfId="0" applyNumberFormat="1" applyFont="1" applyBorder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9" tint="-0.249977111117893"/>
        <name val="Calibri"/>
        <family val="2"/>
        <scheme val="minor"/>
      </font>
      <numFmt numFmtId="165" formatCode="&quot;$&quot;#,##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/>
        </top>
        <bottom/>
        <vertical/>
        <horizontal/>
      </border>
    </dxf>
    <dxf>
      <numFmt numFmtId="165" formatCode="&quot;$&quot;#,##0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9" tint="-0.249977111117893"/>
        <name val="Calibri"/>
        <family val="2"/>
        <scheme val="minor"/>
      </font>
      <numFmt numFmtId="164" formatCode="yyyy\-mm\-dd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/>
        </top>
        <bottom/>
        <vertical/>
        <horizontal/>
      </border>
    </dxf>
    <dxf>
      <numFmt numFmtId="1" formatCode="0"/>
    </dxf>
    <dxf>
      <border outline="0">
        <top style="thin">
          <color theme="9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9" tint="-0.249977111117893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9" tint="-0.249977111117893"/>
        <name val="Calibri"/>
        <family val="2"/>
        <scheme val="minor"/>
      </font>
      <numFmt numFmtId="165" formatCode="&quot;$&quot;#,##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/>
        </top>
        <bottom/>
        <vertical/>
        <horizontal/>
      </border>
    </dxf>
    <dxf>
      <numFmt numFmtId="165" formatCode="&quot;$&quot;#,##0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9" tint="-0.249977111117893"/>
        <name val="Calibri"/>
        <family val="2"/>
        <scheme val="minor"/>
      </font>
      <numFmt numFmtId="164" formatCode="yyyy\-mm\-dd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/>
        </top>
        <bottom/>
        <vertical/>
        <horizontal/>
      </border>
    </dxf>
    <dxf>
      <numFmt numFmtId="1" formatCode="0"/>
    </dxf>
    <dxf>
      <border outline="0">
        <top style="thin">
          <color theme="9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9" tint="-0.249977111117893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[Footwear_Sales_Performance_Dashboard_Final.xlsx]04_PIVOT_ANALYSIS!PivotTable1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Revenue by Region</a:t>
            </a:r>
          </a:p>
        </c:rich>
      </c:tx>
      <c:layout>
        <c:manualLayout>
          <c:xMode val="edge"/>
          <c:yMode val="edge"/>
          <c:x val="0.37523680066307502"/>
          <c:y val="2.31660231660231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'04_PIVOT_ANALYSIS'!$B$2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'04_PIVOT_ANALYSIS'!$A$3:$A$7</c:f>
              <c:strCache>
                <c:ptCount val="4"/>
                <c:pt idx="0">
                  <c:v>East</c:v>
                </c:pt>
                <c:pt idx="1">
                  <c:v>Midwest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'04_PIVOT_ANALYSIS'!$B$3:$B$7</c:f>
              <c:numCache>
                <c:formatCode>"$"#,##0</c:formatCode>
                <c:ptCount val="4"/>
                <c:pt idx="0">
                  <c:v>880</c:v>
                </c:pt>
                <c:pt idx="1">
                  <c:v>685</c:v>
                </c:pt>
                <c:pt idx="2">
                  <c:v>585</c:v>
                </c:pt>
                <c:pt idx="3">
                  <c:v>1110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AE-1846-940F-F40338C5BE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5226911"/>
        <c:axId val="1391417711"/>
      </c:barChart>
      <c:catAx>
        <c:axId val="1555226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X"/>
          </a:p>
        </c:txPr>
        <c:crossAx val="1391417711"/>
        <c:crosses val="autoZero"/>
        <c:auto val="1"/>
        <c:lblAlgn val="ctr"/>
        <c:lblOffset val="100"/>
        <c:noMultiLvlLbl val="0"/>
      </c:catAx>
      <c:valAx>
        <c:axId val="1391417711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X"/>
          </a:p>
        </c:txPr>
        <c:crossAx val="1555226911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[Footwear_Sales_Performance_Dashboard_Final.xlsx]04_PIVOT_ANALYSIS!PivotTable2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Revenue by</a:t>
            </a:r>
            <a:r>
              <a:rPr lang="en-US" sz="1400" b="1" baseline="0"/>
              <a:t>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'04_PIVOT_ANALYSIS'!$F$2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'04_PIVOT_ANALYSIS'!$E$3:$E$6</c:f>
              <c:strCache>
                <c:ptCount val="3"/>
                <c:pt idx="0">
                  <c:v>Lifestyle</c:v>
                </c:pt>
                <c:pt idx="1">
                  <c:v>Running</c:v>
                </c:pt>
                <c:pt idx="2">
                  <c:v>Training</c:v>
                </c:pt>
              </c:strCache>
            </c:strRef>
          </c:cat>
          <c:val>
            <c:numRef>
              <c:f>'04_PIVOT_ANALYSIS'!$F$3:$F$6</c:f>
              <c:numCache>
                <c:formatCode>General</c:formatCode>
                <c:ptCount val="3"/>
                <c:pt idx="0">
                  <c:v>770</c:v>
                </c:pt>
                <c:pt idx="1">
                  <c:v>1525</c:v>
                </c:pt>
                <c:pt idx="2">
                  <c:v>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EC-6C4A-A107-EABE1D0453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89323887"/>
        <c:axId val="1689325615"/>
      </c:barChart>
      <c:catAx>
        <c:axId val="16893238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X"/>
          </a:p>
        </c:txPr>
        <c:crossAx val="1689325615"/>
        <c:crosses val="autoZero"/>
        <c:auto val="1"/>
        <c:lblAlgn val="ctr"/>
        <c:lblOffset val="100"/>
        <c:noMultiLvlLbl val="0"/>
      </c:catAx>
      <c:valAx>
        <c:axId val="1689325615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X"/>
          </a:p>
        </c:txPr>
        <c:crossAx val="1689323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[Footwear_Sales_Performance_Dashboard_Final.xlsx]04_PIVOT_ANALYSIS!PivotTable3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Monthly 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X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'04_PIVOT_ANALYSIS'!$J$2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'04_PIVOT_ANALYSIS'!$I$3:$I$12</c:f>
              <c:strCache>
                <c:ptCount val="9"/>
                <c:pt idx="0">
                  <c:v>2024-01</c:v>
                </c:pt>
                <c:pt idx="1">
                  <c:v>2024-05</c:v>
                </c:pt>
                <c:pt idx="2">
                  <c:v>2024-06</c:v>
                </c:pt>
                <c:pt idx="3">
                  <c:v>2024-07</c:v>
                </c:pt>
                <c:pt idx="4">
                  <c:v>2024-08</c:v>
                </c:pt>
                <c:pt idx="5">
                  <c:v>2024-09</c:v>
                </c:pt>
                <c:pt idx="6">
                  <c:v>2024-10</c:v>
                </c:pt>
                <c:pt idx="7">
                  <c:v>2024-11</c:v>
                </c:pt>
                <c:pt idx="8">
                  <c:v>2024-12</c:v>
                </c:pt>
              </c:strCache>
            </c:strRef>
          </c:cat>
          <c:val>
            <c:numRef>
              <c:f>'04_PIVOT_ANALYSIS'!$J$3:$J$12</c:f>
              <c:numCache>
                <c:formatCode>General</c:formatCode>
                <c:ptCount val="9"/>
                <c:pt idx="0">
                  <c:v>1320</c:v>
                </c:pt>
                <c:pt idx="1">
                  <c:v>280</c:v>
                </c:pt>
                <c:pt idx="2">
                  <c:v>135</c:v>
                </c:pt>
                <c:pt idx="3">
                  <c:v>360</c:v>
                </c:pt>
                <c:pt idx="4">
                  <c:v>190</c:v>
                </c:pt>
                <c:pt idx="5">
                  <c:v>90</c:v>
                </c:pt>
                <c:pt idx="6">
                  <c:v>435</c:v>
                </c:pt>
                <c:pt idx="7">
                  <c:v>260</c:v>
                </c:pt>
                <c:pt idx="8">
                  <c:v>190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FD-F845-BCBF-FD2C13CCE5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9349167"/>
        <c:axId val="1689280687"/>
      </c:lineChart>
      <c:catAx>
        <c:axId val="1689349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X"/>
          </a:p>
        </c:txPr>
        <c:crossAx val="1689280687"/>
        <c:crosses val="autoZero"/>
        <c:auto val="1"/>
        <c:lblAlgn val="ctr"/>
        <c:lblOffset val="100"/>
        <c:noMultiLvlLbl val="0"/>
      </c:catAx>
      <c:valAx>
        <c:axId val="16892806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X"/>
          </a:p>
        </c:txPr>
        <c:crossAx val="1689349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8</xdr:row>
      <xdr:rowOff>0</xdr:rowOff>
    </xdr:from>
    <xdr:to>
      <xdr:col>8</xdr:col>
      <xdr:colOff>76200</xdr:colOff>
      <xdr:row>20</xdr:row>
      <xdr:rowOff>241300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FBC6B1-B530-024C-8F8E-9964D4F25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8</xdr:row>
      <xdr:rowOff>12700</xdr:rowOff>
    </xdr:from>
    <xdr:to>
      <xdr:col>16</xdr:col>
      <xdr:colOff>165100</xdr:colOff>
      <xdr:row>21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C29C4A0-BE6E-8748-98D4-2C38926B53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355600</xdr:colOff>
      <xdr:row>24</xdr:row>
      <xdr:rowOff>0</xdr:rowOff>
    </xdr:from>
    <xdr:to>
      <xdr:col>11</xdr:col>
      <xdr:colOff>736600</xdr:colOff>
      <xdr:row>38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2FE551A-3623-C444-A96A-01594D1606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elby battle" refreshedDate="46019.57833449074" createdVersion="8" refreshedVersion="8" minRefreshableVersion="3" recordCount="14" xr:uid="{70DFF7BA-AEAC-0743-AEFE-4C8056088F1A}">
  <cacheSource type="worksheet">
    <worksheetSource name="tbl_clean"/>
  </cacheSource>
  <cacheFields count="12">
    <cacheField name="Order_ID" numFmtId="1">
      <sharedItems containsSemiMixedTypes="0" containsString="0" containsNumber="1" containsInteger="1" minValue="1001" maxValue="1014"/>
    </cacheField>
    <cacheField name="Order_Date" numFmtId="164">
      <sharedItems containsSemiMixedTypes="0" containsNonDate="0" containsDate="1" containsString="0" minDate="2024-01-13T00:00:00" maxDate="2024-12-02T00:00:00"/>
    </cacheField>
    <cacheField name="Region" numFmtId="0">
      <sharedItems count="4">
        <s v="East"/>
        <s v="West"/>
        <s v="Midwest"/>
        <s v="South"/>
      </sharedItems>
    </cacheField>
    <cacheField name="Channel" numFmtId="0">
      <sharedItems/>
    </cacheField>
    <cacheField name="Product_Category" numFmtId="0">
      <sharedItems count="3">
        <s v="Running"/>
        <s v="Training"/>
        <s v="Lifestyle"/>
      </sharedItems>
    </cacheField>
    <cacheField name="Shoe_Model" numFmtId="0">
      <sharedItems/>
    </cacheField>
    <cacheField name="Units_Sold" numFmtId="1">
      <sharedItems containsSemiMixedTypes="0" containsString="0" containsNumber="1" containsInteger="1" minValue="1" maxValue="3"/>
    </cacheField>
    <cacheField name="Unit_Price" numFmtId="165">
      <sharedItems containsSemiMixedTypes="0" containsString="0" containsNumber="1" containsInteger="1" minValue="90" maxValue="145"/>
    </cacheField>
    <cacheField name="Revenue" numFmtId="165">
      <sharedItems containsSemiMixedTypes="0" containsString="0" containsNumber="1" containsInteger="1" minValue="90" maxValue="435"/>
    </cacheField>
    <cacheField name="Year" numFmtId="0">
      <sharedItems containsSemiMixedTypes="0" containsString="0" containsNumber="1" containsInteger="1" minValue="2024" maxValue="2024"/>
    </cacheField>
    <cacheField name="Month " numFmtId="0">
      <sharedItems count="9">
        <s v="2024-05"/>
        <s v="2024-06"/>
        <s v="2024-07"/>
        <s v="2024-08"/>
        <s v="2024-09"/>
        <s v="2024-10"/>
        <s v="2024-11"/>
        <s v="2024-12"/>
        <s v="2024-01"/>
      </sharedItems>
    </cacheField>
    <cacheField name="Quart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n v="1001"/>
    <d v="2024-05-01T00:00:00"/>
    <x v="0"/>
    <s v="DTC"/>
    <x v="0"/>
    <s v="AeroRun 2"/>
    <n v="2"/>
    <n v="140"/>
    <n v="280"/>
    <n v="2024"/>
    <x v="0"/>
    <s v="Q2 2024"/>
  </r>
  <r>
    <n v="1002"/>
    <d v="2024-06-01T00:00:00"/>
    <x v="1"/>
    <s v="Retail"/>
    <x v="0"/>
    <s v="CloudStride"/>
    <n v="1"/>
    <n v="135"/>
    <n v="135"/>
    <n v="2024"/>
    <x v="1"/>
    <s v="Q2 2024"/>
  </r>
  <r>
    <n v="1003"/>
    <d v="2024-07-01T00:00:00"/>
    <x v="2"/>
    <s v="DTC"/>
    <x v="1"/>
    <s v="Powerlift"/>
    <n v="3"/>
    <n v="120"/>
    <n v="360"/>
    <n v="2024"/>
    <x v="2"/>
    <s v="Q3 2024"/>
  </r>
  <r>
    <n v="1004"/>
    <d v="2024-08-01T00:00:00"/>
    <x v="3"/>
    <s v="Retail"/>
    <x v="2"/>
    <s v="StreetFlow"/>
    <n v="2"/>
    <n v="95"/>
    <n v="190"/>
    <n v="2024"/>
    <x v="3"/>
    <s v="Q3 2024"/>
  </r>
  <r>
    <n v="1005"/>
    <d v="2024-09-01T00:00:00"/>
    <x v="0"/>
    <s v="DTC"/>
    <x v="2"/>
    <s v="DailyMove"/>
    <n v="1"/>
    <n v="90"/>
    <n v="90"/>
    <n v="2024"/>
    <x v="4"/>
    <s v="Q3 2024"/>
  </r>
  <r>
    <n v="1006"/>
    <d v="2024-10-01T00:00:00"/>
    <x v="1"/>
    <s v="DTC"/>
    <x v="0"/>
    <s v="AeroRun 2"/>
    <n v="3"/>
    <n v="145"/>
    <n v="435"/>
    <n v="2024"/>
    <x v="5"/>
    <s v="Q4 2024"/>
  </r>
  <r>
    <n v="1007"/>
    <d v="2024-11-01T00:00:00"/>
    <x v="0"/>
    <s v="Retail"/>
    <x v="0"/>
    <s v="CloudStride"/>
    <n v="2"/>
    <n v="130"/>
    <n v="260"/>
    <n v="2024"/>
    <x v="6"/>
    <s v="Q4 2024"/>
  </r>
  <r>
    <n v="1008"/>
    <d v="2024-12-01T00:00:00"/>
    <x v="2"/>
    <s v="DTC"/>
    <x v="2"/>
    <s v="DailyMove"/>
    <n v="2"/>
    <n v="95"/>
    <n v="190"/>
    <n v="2024"/>
    <x v="7"/>
    <s v="Q4 2024"/>
  </r>
  <r>
    <n v="1009"/>
    <d v="2024-01-13T00:00:00"/>
    <x v="3"/>
    <s v="Retail"/>
    <x v="1"/>
    <s v="FlexTrainer"/>
    <n v="1"/>
    <n v="115"/>
    <n v="115"/>
    <n v="2024"/>
    <x v="8"/>
    <s v="Q1 2024"/>
  </r>
  <r>
    <n v="1010"/>
    <d v="2024-01-14T00:00:00"/>
    <x v="1"/>
    <s v="Retail"/>
    <x v="2"/>
    <s v="StreetFlow"/>
    <n v="3"/>
    <n v="100"/>
    <n v="300"/>
    <n v="2024"/>
    <x v="8"/>
    <s v="Q1 2024"/>
  </r>
  <r>
    <n v="1011"/>
    <d v="2024-01-15T00:00:00"/>
    <x v="0"/>
    <s v="DTC"/>
    <x v="1"/>
    <s v="Powerlift"/>
    <n v="2"/>
    <n v="125"/>
    <n v="250"/>
    <n v="2024"/>
    <x v="8"/>
    <s v="Q1 2024"/>
  </r>
  <r>
    <n v="1012"/>
    <d v="2024-01-16T00:00:00"/>
    <x v="2"/>
    <s v="Retail"/>
    <x v="0"/>
    <s v="AeroRun 2"/>
    <n v="1"/>
    <n v="135"/>
    <n v="135"/>
    <n v="2024"/>
    <x v="8"/>
    <s v="Q1 2024"/>
  </r>
  <r>
    <n v="1013"/>
    <d v="2024-01-17T00:00:00"/>
    <x v="3"/>
    <s v="DTC"/>
    <x v="0"/>
    <s v="CloudStride"/>
    <n v="2"/>
    <n v="140"/>
    <n v="280"/>
    <n v="2024"/>
    <x v="8"/>
    <s v="Q1 2024"/>
  </r>
  <r>
    <n v="1014"/>
    <d v="2024-01-18T00:00:00"/>
    <x v="1"/>
    <s v="DTC"/>
    <x v="1"/>
    <s v="FlexTrainer"/>
    <n v="2"/>
    <n v="120"/>
    <n v="240"/>
    <n v="2024"/>
    <x v="8"/>
    <s v="Q1 20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51096A-99BE-4F49-BC76-0BCB5C4CE723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Month">
  <location ref="I2:J12" firstHeaderRow="1" firstDataRow="1" firstDataCol="1"/>
  <pivotFields count="12">
    <pivotField numFmtId="1" showAll="0"/>
    <pivotField numFmtId="164" showAll="0"/>
    <pivotField showAll="0"/>
    <pivotField showAll="0"/>
    <pivotField showAll="0"/>
    <pivotField showAll="0"/>
    <pivotField numFmtId="1" showAll="0"/>
    <pivotField numFmtId="165" showAll="0"/>
    <pivotField dataField="1" numFmtId="165" showAll="0"/>
    <pivotField showAll="0"/>
    <pivotField axis="axisRow" showAll="0">
      <items count="10">
        <item x="8"/>
        <item x="0"/>
        <item x="1"/>
        <item x="2"/>
        <item x="3"/>
        <item x="4"/>
        <item x="5"/>
        <item x="6"/>
        <item x="7"/>
        <item t="default"/>
      </items>
    </pivotField>
    <pivotField showAll="0"/>
  </pivotFields>
  <rowFields count="1">
    <field x="1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Revenue" fld="8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DD6E0C-7286-A043-9594-B4F8194567AC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ategory">
  <location ref="E2:F6" firstHeaderRow="1" firstDataRow="1" firstDataCol="1"/>
  <pivotFields count="12">
    <pivotField numFmtId="1" showAll="0"/>
    <pivotField numFmtId="164"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numFmtId="1" showAll="0"/>
    <pivotField numFmtId="165" showAll="0"/>
    <pivotField dataField="1" numFmtId="165"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8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03C711-2DC0-E94A-8B76-562EA5045D08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Region">
  <location ref="A2:B7" firstHeaderRow="1" firstDataRow="1" firstDataCol="1"/>
  <pivotFields count="12">
    <pivotField numFmtId="1" showAll="0"/>
    <pivotField numFmtId="164"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numFmtId="1" showAll="0"/>
    <pivotField numFmtId="165" showAll="0"/>
    <pivotField dataField="1" numFmtId="165"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8" baseField="0" baseItem="0" numFmtId="165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736AC34-24D6-8C4B-93B9-1ED0F4571A03}" name="tbl_sales" displayName="tbl_sales" ref="A1:I15" totalsRowShown="0" headerRowDxfId="15" tableBorderDxfId="14">
  <autoFilter ref="A1:I15" xr:uid="{0736AC34-24D6-8C4B-93B9-1ED0F4571A03}"/>
  <tableColumns count="9">
    <tableColumn id="1" xr3:uid="{6245D237-D51E-794E-B46A-1C72F8F91B7A}" name="Order_ID" dataDxfId="13"/>
    <tableColumn id="2" xr3:uid="{82834142-54D7-AD46-AF76-5EF6A6EFAFEE}" name="Order_Date" dataDxfId="12"/>
    <tableColumn id="3" xr3:uid="{4BF21C42-44E1-D444-A6BB-A3F78622C0EF}" name="Region"/>
    <tableColumn id="4" xr3:uid="{2098C055-527D-4C48-95A1-B15EA5FC9C9C}" name="Channel"/>
    <tableColumn id="5" xr3:uid="{54E1537D-0385-C443-8F92-F6F4287F3CDF}" name="Product_Category"/>
    <tableColumn id="6" xr3:uid="{FFD5BC30-D39D-0B42-BEC2-1CE7BA1E6158}" name="Shoe_Model"/>
    <tableColumn id="7" xr3:uid="{FE0DBFE1-DBE3-634D-B194-F8749A01D71A}" name="Units_Sold" dataDxfId="11"/>
    <tableColumn id="8" xr3:uid="{BA4C077B-F0E1-B04B-8FBD-9BC5E4A38A2E}" name="Unit_Price" dataDxfId="10"/>
    <tableColumn id="9" xr3:uid="{F90C98E6-46AA-2543-A0BB-3AB6FED620D8}" name="Revenue" dataDxfId="9">
      <calculatedColumnFormula>G2*H2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8ED1BE-4714-9242-99F4-745FC9A9A5E9}" name="tbl_clean" displayName="tbl_clean" ref="A1:L15" totalsRowShown="0" headerRowDxfId="8" tableBorderDxfId="7">
  <autoFilter ref="A1:L15" xr:uid="{498ED1BE-4714-9242-99F4-745FC9A9A5E9}"/>
  <tableColumns count="12">
    <tableColumn id="1" xr3:uid="{24558C3B-6B4F-4A48-AA29-DA084EF97F4C}" name="Order_ID" dataDxfId="6"/>
    <tableColumn id="2" xr3:uid="{CB867871-08AE-804A-B3A1-FF4DE5F77DEA}" name="Order_Date" dataDxfId="5"/>
    <tableColumn id="3" xr3:uid="{A328EA09-9B17-7244-9CEB-F4797775693F}" name="Region"/>
    <tableColumn id="4" xr3:uid="{3E65A4F0-E9BF-6F49-B631-EC76834499E5}" name="Channel"/>
    <tableColumn id="5" xr3:uid="{9AC1DA15-F233-BD48-A2E1-097449834D34}" name="Product_Category"/>
    <tableColumn id="6" xr3:uid="{6D920853-5F1B-FA4C-B860-F5B390B9E563}" name="Shoe_Model"/>
    <tableColumn id="7" xr3:uid="{276A6484-D728-F64E-9B11-4F2F72C8872E}" name="Units_Sold" dataDxfId="4"/>
    <tableColumn id="8" xr3:uid="{6C28C640-242E-CC49-8F10-146401B35F6F}" name="Unit_Price" dataDxfId="3"/>
    <tableColumn id="9" xr3:uid="{894403F7-4257-3747-AC5D-365760094943}" name="Revenue" dataDxfId="2">
      <calculatedColumnFormula>G2*H2</calculatedColumnFormula>
    </tableColumn>
    <tableColumn id="10" xr3:uid="{0AA4864F-1A45-154C-90EA-8E1705E4AC30}" name="Year" dataDxfId="1">
      <calculatedColumnFormula>YEAR(tbl_clean[[#This Row],[Order_Date]])</calculatedColumnFormula>
    </tableColumn>
    <tableColumn id="11" xr3:uid="{ACE613D0-D28E-AA49-B33E-B81CFAAA19A5}" name="Month " dataDxfId="0">
      <calculatedColumnFormula>TEXT(tbl_clean[[#This Row],[Order_Date]],"yyyy-mm")</calculatedColumnFormula>
    </tableColumn>
    <tableColumn id="12" xr3:uid="{02F98B6C-9A04-344C-BE84-394586D59D59}" name="Quarter">
      <calculatedColumnFormula>"Q"&amp;ROUNDUP(MONTH(tbl_clean[[#This Row],[Order_Date]])/3,0)&amp;" "&amp;YEAR(tbl_clean[[#This Row],[Order_Date]])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755FB-2AB9-C34D-B93A-83446CCE592D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9C8D6-E52F-8B4E-8812-8B866FCCFBA8}">
  <dimension ref="A1:I15"/>
  <sheetViews>
    <sheetView workbookViewId="0">
      <pane ySplit="1" topLeftCell="A2" activePane="bottomLeft" state="frozen"/>
      <selection pane="bottomLeft" activeCell="C1" sqref="A1:I15"/>
    </sheetView>
  </sheetViews>
  <sheetFormatPr baseColWidth="10" defaultRowHeight="16" x14ac:dyDescent="0.2"/>
  <cols>
    <col min="1" max="1" width="11" style="9" customWidth="1"/>
    <col min="2" max="2" width="13.1640625" customWidth="1"/>
    <col min="5" max="5" width="18" customWidth="1"/>
    <col min="6" max="6" width="13.6640625" customWidth="1"/>
    <col min="7" max="7" width="12.33203125" customWidth="1"/>
    <col min="8" max="8" width="12" style="13" customWidth="1"/>
    <col min="9" max="9" width="10.83203125" style="13"/>
  </cols>
  <sheetData>
    <row r="1" spans="1:9" x14ac:dyDescent="0.2">
      <c r="A1" s="6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  <c r="H1" s="10" t="s">
        <v>17</v>
      </c>
      <c r="I1" s="10" t="s">
        <v>18</v>
      </c>
    </row>
    <row r="2" spans="1:9" x14ac:dyDescent="0.2">
      <c r="A2" s="7">
        <v>1001</v>
      </c>
      <c r="B2" s="5">
        <v>45413</v>
      </c>
      <c r="C2" s="2" t="s">
        <v>19</v>
      </c>
      <c r="D2" s="2" t="s">
        <v>20</v>
      </c>
      <c r="E2" s="2" t="s">
        <v>21</v>
      </c>
      <c r="F2" s="2" t="s">
        <v>22</v>
      </c>
      <c r="G2" s="7">
        <v>2</v>
      </c>
      <c r="H2" s="11">
        <v>140</v>
      </c>
      <c r="I2" s="11">
        <f>G2*H2</f>
        <v>280</v>
      </c>
    </row>
    <row r="3" spans="1:9" x14ac:dyDescent="0.2">
      <c r="A3" s="8">
        <v>1002</v>
      </c>
      <c r="B3" s="5">
        <v>45444</v>
      </c>
      <c r="C3" s="3" t="s">
        <v>23</v>
      </c>
      <c r="D3" s="3" t="s">
        <v>24</v>
      </c>
      <c r="E3" s="3" t="s">
        <v>21</v>
      </c>
      <c r="F3" s="3" t="s">
        <v>25</v>
      </c>
      <c r="G3" s="8">
        <v>1</v>
      </c>
      <c r="H3" s="12">
        <v>135</v>
      </c>
      <c r="I3" s="11">
        <f t="shared" ref="I3:I15" si="0">G3*H3</f>
        <v>135</v>
      </c>
    </row>
    <row r="4" spans="1:9" x14ac:dyDescent="0.2">
      <c r="A4" s="9">
        <v>1003</v>
      </c>
      <c r="B4" s="5">
        <v>45474</v>
      </c>
      <c r="C4" t="s">
        <v>26</v>
      </c>
      <c r="D4" t="s">
        <v>20</v>
      </c>
      <c r="E4" t="s">
        <v>27</v>
      </c>
      <c r="F4" t="s">
        <v>28</v>
      </c>
      <c r="G4" s="9">
        <v>3</v>
      </c>
      <c r="H4" s="13">
        <v>120</v>
      </c>
      <c r="I4" s="11">
        <f t="shared" si="0"/>
        <v>360</v>
      </c>
    </row>
    <row r="5" spans="1:9" x14ac:dyDescent="0.2">
      <c r="A5" s="9">
        <v>1004</v>
      </c>
      <c r="B5" s="5">
        <v>45505</v>
      </c>
      <c r="C5" t="s">
        <v>29</v>
      </c>
      <c r="D5" t="s">
        <v>24</v>
      </c>
      <c r="E5" t="s">
        <v>30</v>
      </c>
      <c r="F5" t="s">
        <v>31</v>
      </c>
      <c r="G5" s="9">
        <v>2</v>
      </c>
      <c r="H5" s="13">
        <v>95</v>
      </c>
      <c r="I5" s="11">
        <f t="shared" si="0"/>
        <v>190</v>
      </c>
    </row>
    <row r="6" spans="1:9" x14ac:dyDescent="0.2">
      <c r="A6" s="9">
        <v>1005</v>
      </c>
      <c r="B6" s="5">
        <v>45536</v>
      </c>
      <c r="C6" t="s">
        <v>19</v>
      </c>
      <c r="D6" t="s">
        <v>20</v>
      </c>
      <c r="E6" t="s">
        <v>30</v>
      </c>
      <c r="F6" t="s">
        <v>32</v>
      </c>
      <c r="G6" s="9">
        <v>1</v>
      </c>
      <c r="H6" s="13">
        <v>90</v>
      </c>
      <c r="I6" s="11">
        <f t="shared" si="0"/>
        <v>90</v>
      </c>
    </row>
    <row r="7" spans="1:9" x14ac:dyDescent="0.2">
      <c r="A7" s="9">
        <v>1006</v>
      </c>
      <c r="B7" s="5">
        <v>45566</v>
      </c>
      <c r="C7" t="s">
        <v>23</v>
      </c>
      <c r="D7" t="s">
        <v>20</v>
      </c>
      <c r="E7" t="s">
        <v>21</v>
      </c>
      <c r="F7" t="s">
        <v>22</v>
      </c>
      <c r="G7" s="9">
        <v>3</v>
      </c>
      <c r="H7" s="13">
        <v>145</v>
      </c>
      <c r="I7" s="11">
        <f t="shared" si="0"/>
        <v>435</v>
      </c>
    </row>
    <row r="8" spans="1:9" x14ac:dyDescent="0.2">
      <c r="A8" s="9">
        <v>1007</v>
      </c>
      <c r="B8" s="5">
        <v>45597</v>
      </c>
      <c r="C8" t="s">
        <v>19</v>
      </c>
      <c r="D8" t="s">
        <v>24</v>
      </c>
      <c r="E8" t="s">
        <v>21</v>
      </c>
      <c r="F8" t="s">
        <v>25</v>
      </c>
      <c r="G8" s="9">
        <v>2</v>
      </c>
      <c r="H8" s="13">
        <v>130</v>
      </c>
      <c r="I8" s="11">
        <f t="shared" si="0"/>
        <v>260</v>
      </c>
    </row>
    <row r="9" spans="1:9" x14ac:dyDescent="0.2">
      <c r="A9" s="9">
        <v>1008</v>
      </c>
      <c r="B9" s="5">
        <v>45627</v>
      </c>
      <c r="C9" t="s">
        <v>26</v>
      </c>
      <c r="D9" t="s">
        <v>20</v>
      </c>
      <c r="E9" t="s">
        <v>30</v>
      </c>
      <c r="F9" t="s">
        <v>32</v>
      </c>
      <c r="G9" s="9">
        <v>2</v>
      </c>
      <c r="H9" s="13">
        <v>95</v>
      </c>
      <c r="I9" s="11">
        <f t="shared" si="0"/>
        <v>190</v>
      </c>
    </row>
    <row r="10" spans="1:9" x14ac:dyDescent="0.2">
      <c r="A10" s="9">
        <v>1009</v>
      </c>
      <c r="B10" s="5">
        <v>45304</v>
      </c>
      <c r="C10" t="s">
        <v>29</v>
      </c>
      <c r="D10" t="s">
        <v>24</v>
      </c>
      <c r="E10" t="s">
        <v>27</v>
      </c>
      <c r="F10" t="s">
        <v>33</v>
      </c>
      <c r="G10" s="9">
        <v>1</v>
      </c>
      <c r="H10" s="13">
        <v>115</v>
      </c>
      <c r="I10" s="11">
        <f t="shared" si="0"/>
        <v>115</v>
      </c>
    </row>
    <row r="11" spans="1:9" x14ac:dyDescent="0.2">
      <c r="A11" s="9">
        <v>1010</v>
      </c>
      <c r="B11" s="5">
        <v>45305</v>
      </c>
      <c r="C11" t="s">
        <v>23</v>
      </c>
      <c r="D11" t="s">
        <v>24</v>
      </c>
      <c r="E11" t="s">
        <v>30</v>
      </c>
      <c r="F11" t="s">
        <v>31</v>
      </c>
      <c r="G11" s="9">
        <v>3</v>
      </c>
      <c r="H11" s="13">
        <v>100</v>
      </c>
      <c r="I11" s="11">
        <f t="shared" si="0"/>
        <v>300</v>
      </c>
    </row>
    <row r="12" spans="1:9" x14ac:dyDescent="0.2">
      <c r="A12" s="9">
        <v>1011</v>
      </c>
      <c r="B12" s="5">
        <v>45306</v>
      </c>
      <c r="C12" t="s">
        <v>19</v>
      </c>
      <c r="D12" t="s">
        <v>20</v>
      </c>
      <c r="E12" t="s">
        <v>27</v>
      </c>
      <c r="F12" t="s">
        <v>28</v>
      </c>
      <c r="G12" s="9">
        <v>2</v>
      </c>
      <c r="H12" s="13">
        <v>125</v>
      </c>
      <c r="I12" s="11">
        <f t="shared" si="0"/>
        <v>250</v>
      </c>
    </row>
    <row r="13" spans="1:9" x14ac:dyDescent="0.2">
      <c r="A13" s="9">
        <v>1012</v>
      </c>
      <c r="B13" s="5">
        <v>45307</v>
      </c>
      <c r="C13" t="s">
        <v>26</v>
      </c>
      <c r="D13" t="s">
        <v>24</v>
      </c>
      <c r="E13" t="s">
        <v>21</v>
      </c>
      <c r="F13" t="s">
        <v>22</v>
      </c>
      <c r="G13" s="9">
        <v>1</v>
      </c>
      <c r="H13" s="13">
        <v>135</v>
      </c>
      <c r="I13" s="11">
        <f t="shared" si="0"/>
        <v>135</v>
      </c>
    </row>
    <row r="14" spans="1:9" x14ac:dyDescent="0.2">
      <c r="A14" s="9">
        <v>1013</v>
      </c>
      <c r="B14" s="5">
        <v>45308</v>
      </c>
      <c r="C14" t="s">
        <v>29</v>
      </c>
      <c r="D14" t="s">
        <v>20</v>
      </c>
      <c r="E14" t="s">
        <v>21</v>
      </c>
      <c r="F14" t="s">
        <v>25</v>
      </c>
      <c r="G14" s="9">
        <v>2</v>
      </c>
      <c r="H14" s="13">
        <v>140</v>
      </c>
      <c r="I14" s="11">
        <f t="shared" si="0"/>
        <v>280</v>
      </c>
    </row>
    <row r="15" spans="1:9" x14ac:dyDescent="0.2">
      <c r="A15" s="9">
        <v>1014</v>
      </c>
      <c r="B15" s="5">
        <v>45309</v>
      </c>
      <c r="C15" t="s">
        <v>23</v>
      </c>
      <c r="D15" t="s">
        <v>20</v>
      </c>
      <c r="E15" t="s">
        <v>27</v>
      </c>
      <c r="F15" t="s">
        <v>33</v>
      </c>
      <c r="G15" s="9">
        <v>2</v>
      </c>
      <c r="H15" s="13">
        <v>120</v>
      </c>
      <c r="I15" s="11">
        <f t="shared" si="0"/>
        <v>240</v>
      </c>
    </row>
  </sheetData>
  <dataValidations count="3">
    <dataValidation type="list" allowBlank="1" showInputMessage="1" showErrorMessage="1" sqref="C2:C15" xr:uid="{60355ADD-C0F4-2E4C-87CC-58CE5C2181A4}">
      <formula1>"East,West,Midwest,South"</formula1>
    </dataValidation>
    <dataValidation type="list" allowBlank="1" showInputMessage="1" showErrorMessage="1" sqref="D2:D15" xr:uid="{6B0A5BAD-51AC-8D49-8C4B-4E2A7AD382D2}">
      <formula1>"DTC,Retail"</formula1>
    </dataValidation>
    <dataValidation type="list" allowBlank="1" showInputMessage="1" showErrorMessage="1" sqref="E2:E15" xr:uid="{396646DB-F822-B24B-AD65-14E1603A7447}">
      <formula1>"Running,Training,Lifestyle"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1D61D-FFA9-8A46-B5A3-BF405046658B}">
  <dimension ref="A1:L15"/>
  <sheetViews>
    <sheetView workbookViewId="0">
      <selection activeCell="B4" sqref="B4"/>
    </sheetView>
  </sheetViews>
  <sheetFormatPr baseColWidth="10" defaultRowHeight="16" x14ac:dyDescent="0.2"/>
  <cols>
    <col min="2" max="2" width="13.33203125" bestFit="1" customWidth="1"/>
    <col min="3" max="3" width="9.33203125" bestFit="1" customWidth="1"/>
    <col min="4" max="4" width="10.1640625" bestFit="1" customWidth="1"/>
    <col min="5" max="5" width="18.1640625" bestFit="1" customWidth="1"/>
    <col min="6" max="6" width="13.83203125" bestFit="1" customWidth="1"/>
    <col min="7" max="7" width="12.5" bestFit="1" customWidth="1"/>
    <col min="8" max="8" width="12.1640625" bestFit="1" customWidth="1"/>
  </cols>
  <sheetData>
    <row r="1" spans="1:12" x14ac:dyDescent="0.2">
      <c r="A1" s="6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  <c r="H1" s="10" t="s">
        <v>17</v>
      </c>
      <c r="I1" s="10" t="s">
        <v>18</v>
      </c>
      <c r="J1" s="4" t="s">
        <v>36</v>
      </c>
      <c r="K1" s="4" t="s">
        <v>34</v>
      </c>
      <c r="L1" s="4" t="s">
        <v>35</v>
      </c>
    </row>
    <row r="2" spans="1:12" x14ac:dyDescent="0.2">
      <c r="A2" s="7">
        <v>1001</v>
      </c>
      <c r="B2" s="5">
        <v>45413</v>
      </c>
      <c r="C2" s="2" t="s">
        <v>19</v>
      </c>
      <c r="D2" s="2" t="s">
        <v>20</v>
      </c>
      <c r="E2" s="2" t="s">
        <v>21</v>
      </c>
      <c r="F2" s="2" t="s">
        <v>22</v>
      </c>
      <c r="G2" s="7">
        <v>2</v>
      </c>
      <c r="H2" s="11">
        <v>140</v>
      </c>
      <c r="I2" s="11">
        <f>G2*H2</f>
        <v>280</v>
      </c>
      <c r="J2">
        <f>YEAR(tbl_clean[[#This Row],[Order_Date]])</f>
        <v>2024</v>
      </c>
      <c r="K2" t="str">
        <f>TEXT(tbl_clean[[#This Row],[Order_Date]],"yyyy-mm")</f>
        <v>2024-05</v>
      </c>
      <c r="L2" t="str">
        <f>"Q"&amp;ROUNDUP(MONTH(tbl_clean[[#This Row],[Order_Date]])/3,0)&amp;" "&amp;YEAR(tbl_clean[[#This Row],[Order_Date]])</f>
        <v>Q2 2024</v>
      </c>
    </row>
    <row r="3" spans="1:12" x14ac:dyDescent="0.2">
      <c r="A3" s="8">
        <v>1002</v>
      </c>
      <c r="B3" s="5">
        <v>45444</v>
      </c>
      <c r="C3" s="3" t="s">
        <v>23</v>
      </c>
      <c r="D3" s="3" t="s">
        <v>24</v>
      </c>
      <c r="E3" s="3" t="s">
        <v>21</v>
      </c>
      <c r="F3" s="3" t="s">
        <v>25</v>
      </c>
      <c r="G3" s="8">
        <v>1</v>
      </c>
      <c r="H3" s="12">
        <v>135</v>
      </c>
      <c r="I3" s="11">
        <f t="shared" ref="I3:I15" si="0">G3*H3</f>
        <v>135</v>
      </c>
      <c r="J3">
        <f>YEAR(tbl_clean[[#This Row],[Order_Date]])</f>
        <v>2024</v>
      </c>
      <c r="K3" t="str">
        <f>TEXT(tbl_clean[[#This Row],[Order_Date]],"yyyy-mm")</f>
        <v>2024-06</v>
      </c>
      <c r="L3" t="str">
        <f>"Q"&amp;ROUNDUP(MONTH(tbl_clean[[#This Row],[Order_Date]])/3,0)&amp;" "&amp;YEAR(tbl_clean[[#This Row],[Order_Date]])</f>
        <v>Q2 2024</v>
      </c>
    </row>
    <row r="4" spans="1:12" x14ac:dyDescent="0.2">
      <c r="A4" s="9">
        <v>1003</v>
      </c>
      <c r="B4" s="5">
        <v>45474</v>
      </c>
      <c r="C4" t="s">
        <v>26</v>
      </c>
      <c r="D4" t="s">
        <v>20</v>
      </c>
      <c r="E4" t="s">
        <v>27</v>
      </c>
      <c r="F4" t="s">
        <v>28</v>
      </c>
      <c r="G4" s="9">
        <v>3</v>
      </c>
      <c r="H4" s="13">
        <v>120</v>
      </c>
      <c r="I4" s="11">
        <f t="shared" si="0"/>
        <v>360</v>
      </c>
      <c r="J4">
        <f>YEAR(tbl_clean[[#This Row],[Order_Date]])</f>
        <v>2024</v>
      </c>
      <c r="K4" t="str">
        <f>TEXT(tbl_clean[[#This Row],[Order_Date]],"yyyy-mm")</f>
        <v>2024-07</v>
      </c>
      <c r="L4" t="str">
        <f>"Q"&amp;ROUNDUP(MONTH(tbl_clean[[#This Row],[Order_Date]])/3,0)&amp;" "&amp;YEAR(tbl_clean[[#This Row],[Order_Date]])</f>
        <v>Q3 2024</v>
      </c>
    </row>
    <row r="5" spans="1:12" x14ac:dyDescent="0.2">
      <c r="A5" s="9">
        <v>1004</v>
      </c>
      <c r="B5" s="5">
        <v>45505</v>
      </c>
      <c r="C5" t="s">
        <v>29</v>
      </c>
      <c r="D5" t="s">
        <v>24</v>
      </c>
      <c r="E5" t="s">
        <v>30</v>
      </c>
      <c r="F5" t="s">
        <v>31</v>
      </c>
      <c r="G5" s="9">
        <v>2</v>
      </c>
      <c r="H5" s="13">
        <v>95</v>
      </c>
      <c r="I5" s="11">
        <f t="shared" si="0"/>
        <v>190</v>
      </c>
      <c r="J5">
        <f>YEAR(tbl_clean[[#This Row],[Order_Date]])</f>
        <v>2024</v>
      </c>
      <c r="K5" t="str">
        <f>TEXT(tbl_clean[[#This Row],[Order_Date]],"yyyy-mm")</f>
        <v>2024-08</v>
      </c>
      <c r="L5" t="str">
        <f>"Q"&amp;ROUNDUP(MONTH(tbl_clean[[#This Row],[Order_Date]])/3,0)&amp;" "&amp;YEAR(tbl_clean[[#This Row],[Order_Date]])</f>
        <v>Q3 2024</v>
      </c>
    </row>
    <row r="6" spans="1:12" x14ac:dyDescent="0.2">
      <c r="A6" s="9">
        <v>1005</v>
      </c>
      <c r="B6" s="5">
        <v>45536</v>
      </c>
      <c r="C6" t="s">
        <v>19</v>
      </c>
      <c r="D6" t="s">
        <v>20</v>
      </c>
      <c r="E6" t="s">
        <v>30</v>
      </c>
      <c r="F6" t="s">
        <v>32</v>
      </c>
      <c r="G6" s="9">
        <v>1</v>
      </c>
      <c r="H6" s="13">
        <v>90</v>
      </c>
      <c r="I6" s="11">
        <f t="shared" si="0"/>
        <v>90</v>
      </c>
      <c r="J6">
        <f>YEAR(tbl_clean[[#This Row],[Order_Date]])</f>
        <v>2024</v>
      </c>
      <c r="K6" t="str">
        <f>TEXT(tbl_clean[[#This Row],[Order_Date]],"yyyy-mm")</f>
        <v>2024-09</v>
      </c>
      <c r="L6" t="str">
        <f>"Q"&amp;ROUNDUP(MONTH(tbl_clean[[#This Row],[Order_Date]])/3,0)&amp;" "&amp;YEAR(tbl_clean[[#This Row],[Order_Date]])</f>
        <v>Q3 2024</v>
      </c>
    </row>
    <row r="7" spans="1:12" x14ac:dyDescent="0.2">
      <c r="A7" s="9">
        <v>1006</v>
      </c>
      <c r="B7" s="5">
        <v>45566</v>
      </c>
      <c r="C7" t="s">
        <v>23</v>
      </c>
      <c r="D7" t="s">
        <v>20</v>
      </c>
      <c r="E7" t="s">
        <v>21</v>
      </c>
      <c r="F7" t="s">
        <v>22</v>
      </c>
      <c r="G7" s="9">
        <v>3</v>
      </c>
      <c r="H7" s="13">
        <v>145</v>
      </c>
      <c r="I7" s="11">
        <f t="shared" si="0"/>
        <v>435</v>
      </c>
      <c r="J7">
        <f>YEAR(tbl_clean[[#This Row],[Order_Date]])</f>
        <v>2024</v>
      </c>
      <c r="K7" t="str">
        <f>TEXT(tbl_clean[[#This Row],[Order_Date]],"yyyy-mm")</f>
        <v>2024-10</v>
      </c>
      <c r="L7" t="str">
        <f>"Q"&amp;ROUNDUP(MONTH(tbl_clean[[#This Row],[Order_Date]])/3,0)&amp;" "&amp;YEAR(tbl_clean[[#This Row],[Order_Date]])</f>
        <v>Q4 2024</v>
      </c>
    </row>
    <row r="8" spans="1:12" x14ac:dyDescent="0.2">
      <c r="A8" s="9">
        <v>1007</v>
      </c>
      <c r="B8" s="5">
        <v>45597</v>
      </c>
      <c r="C8" t="s">
        <v>19</v>
      </c>
      <c r="D8" t="s">
        <v>24</v>
      </c>
      <c r="E8" t="s">
        <v>21</v>
      </c>
      <c r="F8" t="s">
        <v>25</v>
      </c>
      <c r="G8" s="9">
        <v>2</v>
      </c>
      <c r="H8" s="13">
        <v>130</v>
      </c>
      <c r="I8" s="11">
        <f t="shared" si="0"/>
        <v>260</v>
      </c>
      <c r="J8">
        <f>YEAR(tbl_clean[[#This Row],[Order_Date]])</f>
        <v>2024</v>
      </c>
      <c r="K8" t="str">
        <f>TEXT(tbl_clean[[#This Row],[Order_Date]],"yyyy-mm")</f>
        <v>2024-11</v>
      </c>
      <c r="L8" t="str">
        <f>"Q"&amp;ROUNDUP(MONTH(tbl_clean[[#This Row],[Order_Date]])/3,0)&amp;" "&amp;YEAR(tbl_clean[[#This Row],[Order_Date]])</f>
        <v>Q4 2024</v>
      </c>
    </row>
    <row r="9" spans="1:12" x14ac:dyDescent="0.2">
      <c r="A9" s="9">
        <v>1008</v>
      </c>
      <c r="B9" s="5">
        <v>45627</v>
      </c>
      <c r="C9" t="s">
        <v>26</v>
      </c>
      <c r="D9" t="s">
        <v>20</v>
      </c>
      <c r="E9" t="s">
        <v>30</v>
      </c>
      <c r="F9" t="s">
        <v>32</v>
      </c>
      <c r="G9" s="9">
        <v>2</v>
      </c>
      <c r="H9" s="13">
        <v>95</v>
      </c>
      <c r="I9" s="11">
        <f t="shared" si="0"/>
        <v>190</v>
      </c>
      <c r="J9">
        <f>YEAR(tbl_clean[[#This Row],[Order_Date]])</f>
        <v>2024</v>
      </c>
      <c r="K9" t="str">
        <f>TEXT(tbl_clean[[#This Row],[Order_Date]],"yyyy-mm")</f>
        <v>2024-12</v>
      </c>
      <c r="L9" t="str">
        <f>"Q"&amp;ROUNDUP(MONTH(tbl_clean[[#This Row],[Order_Date]])/3,0)&amp;" "&amp;YEAR(tbl_clean[[#This Row],[Order_Date]])</f>
        <v>Q4 2024</v>
      </c>
    </row>
    <row r="10" spans="1:12" x14ac:dyDescent="0.2">
      <c r="A10" s="9">
        <v>1009</v>
      </c>
      <c r="B10" s="5">
        <v>45304</v>
      </c>
      <c r="C10" t="s">
        <v>29</v>
      </c>
      <c r="D10" t="s">
        <v>24</v>
      </c>
      <c r="E10" t="s">
        <v>27</v>
      </c>
      <c r="F10" t="s">
        <v>33</v>
      </c>
      <c r="G10" s="9">
        <v>1</v>
      </c>
      <c r="H10" s="13">
        <v>115</v>
      </c>
      <c r="I10" s="11">
        <f t="shared" si="0"/>
        <v>115</v>
      </c>
      <c r="J10">
        <f>YEAR(tbl_clean[[#This Row],[Order_Date]])</f>
        <v>2024</v>
      </c>
      <c r="K10" t="str">
        <f>TEXT(tbl_clean[[#This Row],[Order_Date]],"yyyy-mm")</f>
        <v>2024-01</v>
      </c>
      <c r="L10" t="str">
        <f>"Q"&amp;ROUNDUP(MONTH(tbl_clean[[#This Row],[Order_Date]])/3,0)&amp;" "&amp;YEAR(tbl_clean[[#This Row],[Order_Date]])</f>
        <v>Q1 2024</v>
      </c>
    </row>
    <row r="11" spans="1:12" x14ac:dyDescent="0.2">
      <c r="A11" s="9">
        <v>1010</v>
      </c>
      <c r="B11" s="5">
        <v>45305</v>
      </c>
      <c r="C11" t="s">
        <v>23</v>
      </c>
      <c r="D11" t="s">
        <v>24</v>
      </c>
      <c r="E11" t="s">
        <v>30</v>
      </c>
      <c r="F11" t="s">
        <v>31</v>
      </c>
      <c r="G11" s="9">
        <v>3</v>
      </c>
      <c r="H11" s="13">
        <v>100</v>
      </c>
      <c r="I11" s="11">
        <f t="shared" si="0"/>
        <v>300</v>
      </c>
      <c r="J11">
        <f>YEAR(tbl_clean[[#This Row],[Order_Date]])</f>
        <v>2024</v>
      </c>
      <c r="K11" t="str">
        <f>TEXT(tbl_clean[[#This Row],[Order_Date]],"yyyy-mm")</f>
        <v>2024-01</v>
      </c>
      <c r="L11" t="str">
        <f>"Q"&amp;ROUNDUP(MONTH(tbl_clean[[#This Row],[Order_Date]])/3,0)&amp;" "&amp;YEAR(tbl_clean[[#This Row],[Order_Date]])</f>
        <v>Q1 2024</v>
      </c>
    </row>
    <row r="12" spans="1:12" x14ac:dyDescent="0.2">
      <c r="A12" s="9">
        <v>1011</v>
      </c>
      <c r="B12" s="5">
        <v>45306</v>
      </c>
      <c r="C12" t="s">
        <v>19</v>
      </c>
      <c r="D12" t="s">
        <v>20</v>
      </c>
      <c r="E12" t="s">
        <v>27</v>
      </c>
      <c r="F12" t="s">
        <v>28</v>
      </c>
      <c r="G12" s="9">
        <v>2</v>
      </c>
      <c r="H12" s="13">
        <v>125</v>
      </c>
      <c r="I12" s="11">
        <f t="shared" si="0"/>
        <v>250</v>
      </c>
      <c r="J12">
        <f>YEAR(tbl_clean[[#This Row],[Order_Date]])</f>
        <v>2024</v>
      </c>
      <c r="K12" t="str">
        <f>TEXT(tbl_clean[[#This Row],[Order_Date]],"yyyy-mm")</f>
        <v>2024-01</v>
      </c>
      <c r="L12" t="str">
        <f>"Q"&amp;ROUNDUP(MONTH(tbl_clean[[#This Row],[Order_Date]])/3,0)&amp;" "&amp;YEAR(tbl_clean[[#This Row],[Order_Date]])</f>
        <v>Q1 2024</v>
      </c>
    </row>
    <row r="13" spans="1:12" x14ac:dyDescent="0.2">
      <c r="A13" s="9">
        <v>1012</v>
      </c>
      <c r="B13" s="5">
        <v>45307</v>
      </c>
      <c r="C13" t="s">
        <v>26</v>
      </c>
      <c r="D13" t="s">
        <v>24</v>
      </c>
      <c r="E13" t="s">
        <v>21</v>
      </c>
      <c r="F13" t="s">
        <v>22</v>
      </c>
      <c r="G13" s="9">
        <v>1</v>
      </c>
      <c r="H13" s="13">
        <v>135</v>
      </c>
      <c r="I13" s="11">
        <f t="shared" si="0"/>
        <v>135</v>
      </c>
      <c r="J13">
        <f>YEAR(tbl_clean[[#This Row],[Order_Date]])</f>
        <v>2024</v>
      </c>
      <c r="K13" t="str">
        <f>TEXT(tbl_clean[[#This Row],[Order_Date]],"yyyy-mm")</f>
        <v>2024-01</v>
      </c>
      <c r="L13" t="str">
        <f>"Q"&amp;ROUNDUP(MONTH(tbl_clean[[#This Row],[Order_Date]])/3,0)&amp;" "&amp;YEAR(tbl_clean[[#This Row],[Order_Date]])</f>
        <v>Q1 2024</v>
      </c>
    </row>
    <row r="14" spans="1:12" x14ac:dyDescent="0.2">
      <c r="A14" s="9">
        <v>1013</v>
      </c>
      <c r="B14" s="5">
        <v>45308</v>
      </c>
      <c r="C14" t="s">
        <v>29</v>
      </c>
      <c r="D14" t="s">
        <v>20</v>
      </c>
      <c r="E14" t="s">
        <v>21</v>
      </c>
      <c r="F14" t="s">
        <v>25</v>
      </c>
      <c r="G14" s="9">
        <v>2</v>
      </c>
      <c r="H14" s="13">
        <v>140</v>
      </c>
      <c r="I14" s="11">
        <f t="shared" si="0"/>
        <v>280</v>
      </c>
      <c r="J14">
        <f>YEAR(tbl_clean[[#This Row],[Order_Date]])</f>
        <v>2024</v>
      </c>
      <c r="K14" t="str">
        <f>TEXT(tbl_clean[[#This Row],[Order_Date]],"yyyy-mm")</f>
        <v>2024-01</v>
      </c>
      <c r="L14" t="str">
        <f>"Q"&amp;ROUNDUP(MONTH(tbl_clean[[#This Row],[Order_Date]])/3,0)&amp;" "&amp;YEAR(tbl_clean[[#This Row],[Order_Date]])</f>
        <v>Q1 2024</v>
      </c>
    </row>
    <row r="15" spans="1:12" x14ac:dyDescent="0.2">
      <c r="A15" s="9">
        <v>1014</v>
      </c>
      <c r="B15" s="5">
        <v>45309</v>
      </c>
      <c r="C15" t="s">
        <v>23</v>
      </c>
      <c r="D15" t="s">
        <v>20</v>
      </c>
      <c r="E15" t="s">
        <v>27</v>
      </c>
      <c r="F15" t="s">
        <v>33</v>
      </c>
      <c r="G15" s="9">
        <v>2</v>
      </c>
      <c r="H15" s="13">
        <v>120</v>
      </c>
      <c r="I15" s="11">
        <f t="shared" si="0"/>
        <v>240</v>
      </c>
      <c r="J15">
        <f>YEAR(tbl_clean[[#This Row],[Order_Date]])</f>
        <v>2024</v>
      </c>
      <c r="K15" t="str">
        <f>TEXT(tbl_clean[[#This Row],[Order_Date]],"yyyy-mm")</f>
        <v>2024-01</v>
      </c>
      <c r="L15" t="str">
        <f>"Q"&amp;ROUNDUP(MONTH(tbl_clean[[#This Row],[Order_Date]])/3,0)&amp;" "&amp;YEAR(tbl_clean[[#This Row],[Order_Date]])</f>
        <v>Q1 2024</v>
      </c>
    </row>
  </sheetData>
  <dataValidations count="3">
    <dataValidation type="list" allowBlank="1" showInputMessage="1" showErrorMessage="1" sqref="E2:E15" xr:uid="{D845465A-1D56-C242-9CA7-3AA5E9E10814}">
      <formula1>"Running,Training,Lifestyle"</formula1>
    </dataValidation>
    <dataValidation type="list" allowBlank="1" showInputMessage="1" showErrorMessage="1" sqref="D2:D15" xr:uid="{85F100AD-AEDE-194B-A471-AD4688E8041C}">
      <formula1>"DTC,Retail"</formula1>
    </dataValidation>
    <dataValidation type="list" allowBlank="1" showInputMessage="1" showErrorMessage="1" sqref="C2:C15" xr:uid="{D669D180-2AC6-8C49-A541-C0A736F4D44C}">
      <formula1>"East,West,Midwest,South"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A0EE5-5620-6A42-9110-D84BCAC13411}">
  <dimension ref="A2:E23"/>
  <sheetViews>
    <sheetView workbookViewId="0">
      <selection activeCell="E18" sqref="E18"/>
    </sheetView>
  </sheetViews>
  <sheetFormatPr baseColWidth="10" defaultRowHeight="16" x14ac:dyDescent="0.2"/>
  <cols>
    <col min="1" max="1" width="20.1640625" bestFit="1" customWidth="1"/>
  </cols>
  <sheetData>
    <row r="2" spans="1:5" x14ac:dyDescent="0.2">
      <c r="A2" t="s">
        <v>4</v>
      </c>
      <c r="B2" s="13">
        <f>SUM(tbl_clean[Revenue])</f>
        <v>3260</v>
      </c>
    </row>
    <row r="3" spans="1:5" x14ac:dyDescent="0.2">
      <c r="A3" t="s">
        <v>37</v>
      </c>
      <c r="B3" s="9">
        <f>SUM(tbl_clean[Units_Sold])</f>
        <v>27</v>
      </c>
    </row>
    <row r="4" spans="1:5" x14ac:dyDescent="0.2">
      <c r="A4" t="s">
        <v>38</v>
      </c>
      <c r="B4">
        <f>COUNTA(tbl_clean[Order_ID])</f>
        <v>14</v>
      </c>
    </row>
    <row r="5" spans="1:5" x14ac:dyDescent="0.2">
      <c r="A5" t="s">
        <v>39</v>
      </c>
      <c r="B5" s="15">
        <f>B2/B4</f>
        <v>232.85714285714286</v>
      </c>
    </row>
    <row r="7" spans="1:5" x14ac:dyDescent="0.2">
      <c r="A7" t="s">
        <v>12</v>
      </c>
      <c r="B7" t="s">
        <v>18</v>
      </c>
      <c r="D7" t="s">
        <v>40</v>
      </c>
      <c r="E7" t="s">
        <v>18</v>
      </c>
    </row>
    <row r="8" spans="1:5" x14ac:dyDescent="0.2">
      <c r="A8" t="s">
        <v>19</v>
      </c>
      <c r="B8" s="13">
        <f>SUMIFS(tbl_clean[Revenue],tbl_clean[Region],A8)</f>
        <v>880</v>
      </c>
      <c r="D8" t="s">
        <v>21</v>
      </c>
      <c r="E8" s="13">
        <f>SUMIFS(tbl_clean[Revenue],tbl_clean[Product_Category],D8)</f>
        <v>1525</v>
      </c>
    </row>
    <row r="9" spans="1:5" x14ac:dyDescent="0.2">
      <c r="A9" t="s">
        <v>23</v>
      </c>
      <c r="B9" s="13">
        <f>SUMIFS(tbl_clean[Revenue],tbl_clean[Region],A9)</f>
        <v>1110</v>
      </c>
      <c r="D9" t="s">
        <v>27</v>
      </c>
      <c r="E9" s="13">
        <f>SUMIFS(tbl_clean[Revenue],tbl_clean[Product_Category],D9)</f>
        <v>965</v>
      </c>
    </row>
    <row r="10" spans="1:5" x14ac:dyDescent="0.2">
      <c r="A10" t="s">
        <v>26</v>
      </c>
      <c r="B10" s="13">
        <f>SUMIFS(tbl_clean[Revenue],tbl_clean[Region],A10)</f>
        <v>685</v>
      </c>
      <c r="D10" t="s">
        <v>30</v>
      </c>
      <c r="E10" s="13">
        <f>SUMIFS(tbl_clean[Revenue],tbl_clean[Product_Category],D10)</f>
        <v>770</v>
      </c>
    </row>
    <row r="11" spans="1:5" x14ac:dyDescent="0.2">
      <c r="A11" t="s">
        <v>29</v>
      </c>
      <c r="B11" s="13">
        <f>SUMIFS(tbl_clean[Revenue],tbl_clean[Region],A11)</f>
        <v>585</v>
      </c>
    </row>
    <row r="14" spans="1:5" x14ac:dyDescent="0.2">
      <c r="A14" t="s">
        <v>41</v>
      </c>
      <c r="B14" t="s">
        <v>18</v>
      </c>
    </row>
    <row r="15" spans="1:5" x14ac:dyDescent="0.2">
      <c r="A15" t="s">
        <v>42</v>
      </c>
      <c r="B15" s="16">
        <f>SUMIFS('02_CLEAN_DATA'!$I:$I,'02_CLEAN_DATA'!$K:$K,$A15)</f>
        <v>1320</v>
      </c>
    </row>
    <row r="16" spans="1:5" x14ac:dyDescent="0.2">
      <c r="A16" t="s">
        <v>43</v>
      </c>
      <c r="B16" s="16">
        <f>SUMIFS('02_CLEAN_DATA'!$I:$I,'02_CLEAN_DATA'!$K:$K,$A16)</f>
        <v>280</v>
      </c>
    </row>
    <row r="17" spans="1:2" x14ac:dyDescent="0.2">
      <c r="A17" t="s">
        <v>44</v>
      </c>
      <c r="B17" s="16">
        <f>SUMIFS('02_CLEAN_DATA'!$I:$I,'02_CLEAN_DATA'!$K:$K,$A17)</f>
        <v>135</v>
      </c>
    </row>
    <row r="18" spans="1:2" x14ac:dyDescent="0.2">
      <c r="A18" t="s">
        <v>45</v>
      </c>
      <c r="B18" s="16">
        <f>SUMIFS('02_CLEAN_DATA'!$I:$I,'02_CLEAN_DATA'!$K:$K,$A18)</f>
        <v>360</v>
      </c>
    </row>
    <row r="19" spans="1:2" x14ac:dyDescent="0.2">
      <c r="A19" t="s">
        <v>50</v>
      </c>
      <c r="B19" s="16">
        <f>SUMIFS('02_CLEAN_DATA'!$I:$I,'02_CLEAN_DATA'!$K:$K,$A19)</f>
        <v>190</v>
      </c>
    </row>
    <row r="20" spans="1:2" x14ac:dyDescent="0.2">
      <c r="A20" t="s">
        <v>46</v>
      </c>
      <c r="B20" s="16">
        <f>SUMIFS('02_CLEAN_DATA'!$I:$I,'02_CLEAN_DATA'!$K:$K,$A20)</f>
        <v>90</v>
      </c>
    </row>
    <row r="21" spans="1:2" x14ac:dyDescent="0.2">
      <c r="A21" t="s">
        <v>47</v>
      </c>
      <c r="B21" s="16">
        <f>SUMIFS('02_CLEAN_DATA'!$I:$I,'02_CLEAN_DATA'!$K:$K,$A21)</f>
        <v>435</v>
      </c>
    </row>
    <row r="22" spans="1:2" x14ac:dyDescent="0.2">
      <c r="A22" t="s">
        <v>48</v>
      </c>
      <c r="B22" s="16">
        <f>SUMIFS('02_CLEAN_DATA'!$I:$I,'02_CLEAN_DATA'!$K:$K,$A22)</f>
        <v>260</v>
      </c>
    </row>
    <row r="23" spans="1:2" x14ac:dyDescent="0.2">
      <c r="A23" t="s">
        <v>49</v>
      </c>
      <c r="B23" s="16">
        <f>SUMIFS('02_CLEAN_DATA'!$I:$I,'02_CLEAN_DATA'!$K:$K,$A23)</f>
        <v>190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26A2D-7DAB-7C4C-B3EC-05D444E22A19}">
  <dimension ref="A1:J12"/>
  <sheetViews>
    <sheetView workbookViewId="0">
      <selection activeCell="M16" sqref="M16"/>
    </sheetView>
  </sheetViews>
  <sheetFormatPr baseColWidth="10" defaultRowHeight="16" x14ac:dyDescent="0.2"/>
  <cols>
    <col min="1" max="1" width="13" bestFit="1" customWidth="1"/>
    <col min="2" max="2" width="14.6640625" bestFit="1" customWidth="1"/>
    <col min="4" max="4" width="13" bestFit="1" customWidth="1"/>
    <col min="5" max="5" width="14.6640625" bestFit="1" customWidth="1"/>
    <col min="6" max="6" width="14.83203125" customWidth="1"/>
    <col min="7" max="7" width="13" bestFit="1" customWidth="1"/>
    <col min="8" max="8" width="14.6640625" bestFit="1" customWidth="1"/>
    <col min="10" max="10" width="14.33203125" customWidth="1"/>
  </cols>
  <sheetData>
    <row r="1" spans="1:10" ht="19" x14ac:dyDescent="0.25">
      <c r="A1" s="20" t="s">
        <v>53</v>
      </c>
      <c r="E1" s="20" t="s">
        <v>54</v>
      </c>
      <c r="I1" s="1" t="s">
        <v>9</v>
      </c>
      <c r="J1" s="21"/>
    </row>
    <row r="2" spans="1:10" x14ac:dyDescent="0.2">
      <c r="A2" s="17" t="s">
        <v>12</v>
      </c>
      <c r="B2" t="s">
        <v>52</v>
      </c>
      <c r="E2" s="17" t="s">
        <v>40</v>
      </c>
      <c r="F2" t="s">
        <v>52</v>
      </c>
      <c r="I2" s="17" t="s">
        <v>41</v>
      </c>
      <c r="J2" t="s">
        <v>52</v>
      </c>
    </row>
    <row r="3" spans="1:10" x14ac:dyDescent="0.2">
      <c r="A3" s="18" t="s">
        <v>19</v>
      </c>
      <c r="B3" s="13">
        <v>880</v>
      </c>
      <c r="E3" s="18" t="s">
        <v>30</v>
      </c>
      <c r="F3" s="19">
        <v>770</v>
      </c>
      <c r="I3" s="18" t="s">
        <v>42</v>
      </c>
      <c r="J3" s="19">
        <v>1320</v>
      </c>
    </row>
    <row r="4" spans="1:10" x14ac:dyDescent="0.2">
      <c r="A4" s="18" t="s">
        <v>26</v>
      </c>
      <c r="B4" s="13">
        <v>685</v>
      </c>
      <c r="E4" s="18" t="s">
        <v>21</v>
      </c>
      <c r="F4" s="19">
        <v>1525</v>
      </c>
      <c r="I4" s="18" t="s">
        <v>43</v>
      </c>
      <c r="J4" s="19">
        <v>280</v>
      </c>
    </row>
    <row r="5" spans="1:10" x14ac:dyDescent="0.2">
      <c r="A5" s="18" t="s">
        <v>29</v>
      </c>
      <c r="B5" s="13">
        <v>585</v>
      </c>
      <c r="E5" s="18" t="s">
        <v>27</v>
      </c>
      <c r="F5" s="19">
        <v>965</v>
      </c>
      <c r="I5" s="18" t="s">
        <v>44</v>
      </c>
      <c r="J5" s="19">
        <v>135</v>
      </c>
    </row>
    <row r="6" spans="1:10" x14ac:dyDescent="0.2">
      <c r="A6" s="18" t="s">
        <v>23</v>
      </c>
      <c r="B6" s="13">
        <v>1110</v>
      </c>
      <c r="E6" s="18" t="s">
        <v>51</v>
      </c>
      <c r="F6" s="19">
        <v>3260</v>
      </c>
      <c r="I6" s="18" t="s">
        <v>45</v>
      </c>
      <c r="J6" s="19">
        <v>360</v>
      </c>
    </row>
    <row r="7" spans="1:10" x14ac:dyDescent="0.2">
      <c r="A7" s="18" t="s">
        <v>51</v>
      </c>
      <c r="B7" s="13">
        <v>3260</v>
      </c>
      <c r="I7" s="18" t="s">
        <v>50</v>
      </c>
      <c r="J7" s="19">
        <v>190</v>
      </c>
    </row>
    <row r="8" spans="1:10" x14ac:dyDescent="0.2">
      <c r="I8" s="18" t="s">
        <v>46</v>
      </c>
      <c r="J8" s="19">
        <v>90</v>
      </c>
    </row>
    <row r="9" spans="1:10" x14ac:dyDescent="0.2">
      <c r="I9" s="18" t="s">
        <v>47</v>
      </c>
      <c r="J9" s="19">
        <v>435</v>
      </c>
    </row>
    <row r="10" spans="1:10" x14ac:dyDescent="0.2">
      <c r="I10" s="18" t="s">
        <v>48</v>
      </c>
      <c r="J10" s="19">
        <v>260</v>
      </c>
    </row>
    <row r="11" spans="1:10" x14ac:dyDescent="0.2">
      <c r="I11" s="18" t="s">
        <v>49</v>
      </c>
      <c r="J11" s="19">
        <v>190</v>
      </c>
    </row>
    <row r="12" spans="1:10" x14ac:dyDescent="0.2">
      <c r="I12" s="18" t="s">
        <v>51</v>
      </c>
      <c r="J12" s="19">
        <v>3260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9BFBF-5704-B14D-A720-37D177B08468}">
  <dimension ref="A1:D30"/>
  <sheetViews>
    <sheetView workbookViewId="0">
      <selection activeCell="G7" sqref="G7"/>
    </sheetView>
  </sheetViews>
  <sheetFormatPr baseColWidth="10" defaultRowHeight="16" x14ac:dyDescent="0.2"/>
  <cols>
    <col min="1" max="4" width="18.83203125" customWidth="1"/>
    <col min="5" max="13" width="14.83203125" customWidth="1"/>
  </cols>
  <sheetData>
    <row r="1" spans="1:4" ht="28" customHeight="1" x14ac:dyDescent="0.3">
      <c r="A1" s="22" t="s">
        <v>61</v>
      </c>
    </row>
    <row r="2" spans="1:4" ht="28" customHeight="1" x14ac:dyDescent="0.2">
      <c r="A2" s="23" t="s">
        <v>62</v>
      </c>
    </row>
    <row r="3" spans="1:4" ht="28" customHeight="1" thickBot="1" x14ac:dyDescent="0.25"/>
    <row r="4" spans="1:4" ht="40" customHeight="1" x14ac:dyDescent="0.2">
      <c r="A4" s="24" t="s">
        <v>4</v>
      </c>
      <c r="B4" s="26" t="s">
        <v>5</v>
      </c>
      <c r="C4" s="26" t="s">
        <v>38</v>
      </c>
      <c r="D4" s="26" t="s">
        <v>63</v>
      </c>
    </row>
    <row r="5" spans="1:4" ht="40" customHeight="1" thickBot="1" x14ac:dyDescent="0.3">
      <c r="A5" s="25">
        <f>'03_KPI_SUMMARY'!B2</f>
        <v>3260</v>
      </c>
      <c r="B5" s="27">
        <f>'03_KPI_SUMMARY'!B3</f>
        <v>27</v>
      </c>
      <c r="C5" s="28">
        <f>'03_KPI_SUMMARY'!B4</f>
        <v>14</v>
      </c>
      <c r="D5" s="29">
        <f>'03_KPI_SUMMARY'!B5</f>
        <v>232.85714285714286</v>
      </c>
    </row>
    <row r="6" spans="1:4" ht="40" customHeight="1" x14ac:dyDescent="0.2"/>
    <row r="7" spans="1:4" ht="40" customHeight="1" x14ac:dyDescent="0.2"/>
    <row r="8" spans="1:4" ht="40" customHeight="1" x14ac:dyDescent="0.2"/>
    <row r="9" spans="1:4" ht="20" customHeight="1" x14ac:dyDescent="0.2"/>
    <row r="10" spans="1:4" ht="20" customHeight="1" x14ac:dyDescent="0.2"/>
    <row r="11" spans="1:4" ht="20" customHeight="1" x14ac:dyDescent="0.2"/>
    <row r="12" spans="1:4" ht="20" customHeight="1" x14ac:dyDescent="0.2"/>
    <row r="13" spans="1:4" ht="20" customHeight="1" x14ac:dyDescent="0.2"/>
    <row r="14" spans="1:4" ht="20" customHeight="1" x14ac:dyDescent="0.2"/>
    <row r="15" spans="1:4" ht="20" customHeight="1" x14ac:dyDescent="0.2"/>
    <row r="16" spans="1:4" ht="20" customHeight="1" x14ac:dyDescent="0.2"/>
    <row r="17" ht="20" customHeight="1" x14ac:dyDescent="0.2"/>
    <row r="18" ht="20" customHeight="1" x14ac:dyDescent="0.2"/>
    <row r="19" ht="20" customHeight="1" x14ac:dyDescent="0.2"/>
    <row r="20" ht="20" customHeight="1" x14ac:dyDescent="0.2"/>
    <row r="21" ht="20" customHeight="1" x14ac:dyDescent="0.2"/>
    <row r="22" ht="20" customHeight="1" x14ac:dyDescent="0.2"/>
    <row r="23" ht="20" customHeight="1" x14ac:dyDescent="0.2"/>
    <row r="24" ht="20" customHeight="1" x14ac:dyDescent="0.2"/>
    <row r="25" ht="20" customHeight="1" x14ac:dyDescent="0.2"/>
    <row r="26" ht="20" customHeight="1" x14ac:dyDescent="0.2"/>
    <row r="27" ht="20" customHeight="1" x14ac:dyDescent="0.2"/>
    <row r="28" ht="20" customHeight="1" x14ac:dyDescent="0.2"/>
    <row r="29" ht="20" customHeight="1" x14ac:dyDescent="0.2"/>
    <row r="30" ht="20" customHeight="1" x14ac:dyDescent="0.2"/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86176-9CAB-AA47-AD96-63A81805CA35}">
  <dimension ref="A1:B53"/>
  <sheetViews>
    <sheetView tabSelected="1" topLeftCell="A17" workbookViewId="0">
      <selection activeCell="H53" sqref="H53"/>
    </sheetView>
  </sheetViews>
  <sheetFormatPr baseColWidth="10" defaultRowHeight="16" x14ac:dyDescent="0.2"/>
  <sheetData>
    <row r="1" spans="1:1" x14ac:dyDescent="0.2">
      <c r="A1" s="1" t="s">
        <v>0</v>
      </c>
    </row>
    <row r="2" spans="1:1" ht="19" x14ac:dyDescent="0.25">
      <c r="A2" s="20" t="s">
        <v>66</v>
      </c>
    </row>
    <row r="4" spans="1:1" ht="19" x14ac:dyDescent="0.25">
      <c r="A4" s="20" t="s">
        <v>1</v>
      </c>
    </row>
    <row r="5" spans="1:1" x14ac:dyDescent="0.2">
      <c r="A5" t="s">
        <v>67</v>
      </c>
    </row>
    <row r="7" spans="1:1" ht="19" x14ac:dyDescent="0.25">
      <c r="A7" s="20" t="s">
        <v>64</v>
      </c>
    </row>
    <row r="8" spans="1:1" x14ac:dyDescent="0.2">
      <c r="A8" t="s">
        <v>68</v>
      </c>
    </row>
    <row r="10" spans="1:1" x14ac:dyDescent="0.2">
      <c r="A10" s="14" t="s">
        <v>55</v>
      </c>
    </row>
    <row r="11" spans="1:1" x14ac:dyDescent="0.2">
      <c r="A11" t="s">
        <v>65</v>
      </c>
    </row>
    <row r="13" spans="1:1" x14ac:dyDescent="0.2">
      <c r="A13" t="s">
        <v>2</v>
      </c>
    </row>
    <row r="15" spans="1:1" ht="19" x14ac:dyDescent="0.25">
      <c r="A15" s="20" t="s">
        <v>3</v>
      </c>
    </row>
    <row r="16" spans="1:1" x14ac:dyDescent="0.2">
      <c r="A16" t="s">
        <v>69</v>
      </c>
    </row>
    <row r="18" spans="1:1" x14ac:dyDescent="0.2">
      <c r="A18" t="s">
        <v>4</v>
      </c>
    </row>
    <row r="20" spans="1:1" x14ac:dyDescent="0.2">
      <c r="A20" t="s">
        <v>5</v>
      </c>
    </row>
    <row r="22" spans="1:1" x14ac:dyDescent="0.2">
      <c r="A22" t="s">
        <v>6</v>
      </c>
    </row>
    <row r="24" spans="1:1" x14ac:dyDescent="0.2">
      <c r="A24" t="s">
        <v>7</v>
      </c>
    </row>
    <row r="26" spans="1:1" x14ac:dyDescent="0.2">
      <c r="A26" t="s">
        <v>8</v>
      </c>
    </row>
    <row r="28" spans="1:1" x14ac:dyDescent="0.2">
      <c r="A28" t="s">
        <v>9</v>
      </c>
    </row>
    <row r="30" spans="1:1" ht="19" x14ac:dyDescent="0.25">
      <c r="A30" s="20" t="s">
        <v>55</v>
      </c>
    </row>
    <row r="32" spans="1:1" x14ac:dyDescent="0.2">
      <c r="A32" s="1" t="s">
        <v>56</v>
      </c>
    </row>
    <row r="33" spans="1:1" x14ac:dyDescent="0.2">
      <c r="A33" t="s">
        <v>70</v>
      </c>
    </row>
    <row r="37" spans="1:1" x14ac:dyDescent="0.2">
      <c r="A37" s="1" t="s">
        <v>57</v>
      </c>
    </row>
    <row r="38" spans="1:1" x14ac:dyDescent="0.2">
      <c r="A38" t="s">
        <v>71</v>
      </c>
    </row>
    <row r="42" spans="1:1" x14ac:dyDescent="0.2">
      <c r="A42" s="1" t="s">
        <v>58</v>
      </c>
    </row>
    <row r="43" spans="1:1" x14ac:dyDescent="0.2">
      <c r="A43" t="s">
        <v>72</v>
      </c>
    </row>
    <row r="47" spans="1:1" x14ac:dyDescent="0.2">
      <c r="A47" s="1" t="s">
        <v>59</v>
      </c>
    </row>
    <row r="48" spans="1:1" x14ac:dyDescent="0.2">
      <c r="A48" t="s">
        <v>73</v>
      </c>
    </row>
    <row r="52" spans="1:2" x14ac:dyDescent="0.2">
      <c r="A52" s="1" t="s">
        <v>60</v>
      </c>
    </row>
    <row r="53" spans="1:2" x14ac:dyDescent="0.2">
      <c r="A53" t="s">
        <v>74</v>
      </c>
      <c r="B53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00_README</vt:lpstr>
      <vt:lpstr>01_RAW_DATA</vt:lpstr>
      <vt:lpstr>02_CLEAN_DATA</vt:lpstr>
      <vt:lpstr>03_KPI_SUMMARY</vt:lpstr>
      <vt:lpstr>04_PIVOT_ANALYSIS</vt:lpstr>
      <vt:lpstr>05_DASHBOARD</vt:lpstr>
      <vt:lpstr>06_INSIGHTS_NOTES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battle</dc:creator>
  <cp:lastModifiedBy>s battle</cp:lastModifiedBy>
  <dcterms:created xsi:type="dcterms:W3CDTF">2025-12-19T19:26:44Z</dcterms:created>
  <dcterms:modified xsi:type="dcterms:W3CDTF">2026-01-11T23:56:04Z</dcterms:modified>
</cp:coreProperties>
</file>